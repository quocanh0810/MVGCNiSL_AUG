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quocanh/Downloads/"/>
    </mc:Choice>
  </mc:AlternateContent>
  <xr:revisionPtr revIDLastSave="0" documentId="13_ncr:1_{184CD7C9-F617-E141-BE35-37179A6C4C91}" xr6:coauthVersionLast="47" xr6:coauthVersionMax="47" xr10:uidLastSave="{00000000-0000-0000-0000-000000000000}"/>
  <bookViews>
    <workbookView xWindow="0" yWindow="760" windowWidth="30240" windowHeight="18120" activeTab="2" xr2:uid="{00000000-000D-0000-FFFF-FFFF00000000}"/>
  </bookViews>
  <sheets>
    <sheet name="Default" sheetId="1" r:id="rId1"/>
    <sheet name="4_network" sheetId="3" r:id="rId2"/>
    <sheet name="1_network" sheetId="5" r:id="rId3"/>
    <sheet name="network GI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6" i="3" l="1"/>
  <c r="W76" i="3"/>
  <c r="X76" i="3"/>
  <c r="U76" i="3"/>
  <c r="X62" i="3"/>
  <c r="V62" i="3"/>
  <c r="W62" i="3"/>
  <c r="U62" i="3"/>
  <c r="X48" i="3"/>
  <c r="V48" i="3"/>
  <c r="W48" i="3"/>
  <c r="U48" i="3"/>
  <c r="X34" i="3"/>
  <c r="V34" i="3"/>
  <c r="W34" i="3"/>
  <c r="U34" i="3"/>
  <c r="V20" i="3"/>
  <c r="W20" i="3"/>
  <c r="X20" i="3"/>
  <c r="U20" i="3"/>
  <c r="H20" i="3"/>
  <c r="I20" i="3"/>
  <c r="J20" i="3"/>
  <c r="G20" i="3"/>
  <c r="H34" i="3"/>
  <c r="I34" i="3"/>
  <c r="J34" i="3"/>
  <c r="G34" i="3"/>
  <c r="J48" i="3"/>
  <c r="H48" i="3"/>
  <c r="I48" i="3"/>
  <c r="G48" i="3"/>
  <c r="H62" i="3"/>
  <c r="I62" i="3"/>
  <c r="J62" i="3"/>
  <c r="G62" i="3"/>
  <c r="H76" i="3"/>
  <c r="I76" i="3"/>
  <c r="J76" i="3"/>
  <c r="G76" i="3"/>
  <c r="I67" i="1" l="1"/>
  <c r="I106" i="1" l="1"/>
  <c r="L106" i="1"/>
  <c r="K106" i="1"/>
  <c r="J106" i="1"/>
  <c r="AA106" i="1"/>
  <c r="Y106" i="1"/>
  <c r="X106" i="1"/>
  <c r="Z106" i="1"/>
  <c r="X80" i="1" l="1"/>
  <c r="Y80" i="1"/>
  <c r="AA80" i="1"/>
  <c r="Z80" i="1"/>
  <c r="AA18" i="1" l="1"/>
  <c r="Z18" i="1"/>
  <c r="Y18" i="1"/>
  <c r="X18" i="1"/>
  <c r="Y67" i="1"/>
  <c r="X67" i="1"/>
  <c r="L80" i="1"/>
  <c r="K80" i="1"/>
  <c r="J80" i="1"/>
  <c r="I80" i="1"/>
  <c r="AA67" i="1"/>
  <c r="Z67" i="1"/>
  <c r="J67" i="1"/>
  <c r="K67" i="1"/>
  <c r="L67" i="1"/>
</calcChain>
</file>

<file path=xl/sharedStrings.xml><?xml version="1.0" encoding="utf-8"?>
<sst xmlns="http://schemas.openxmlformats.org/spreadsheetml/2006/main" count="547" uniqueCount="158">
  <si>
    <t>Setting</t>
  </si>
  <si>
    <t>Model</t>
  </si>
  <si>
    <t>Metric</t>
  </si>
  <si>
    <t>GCN</t>
  </si>
  <si>
    <t>Input Network</t>
  </si>
  <si>
    <t>AUC</t>
  </si>
  <si>
    <t>AUPR</t>
  </si>
  <si>
    <t>P@5</t>
  </si>
  <si>
    <t>P@10</t>
  </si>
  <si>
    <t>PPI Physical</t>
  </si>
  <si>
    <t>PPI Genetic</t>
  </si>
  <si>
    <t>PPI Physical + PPI Genetic</t>
  </si>
  <si>
    <t>Co-essentiality</t>
  </si>
  <si>
    <t>Co-expression</t>
  </si>
  <si>
    <t>Co-expression + Co-essentiality</t>
  </si>
  <si>
    <t>PPI Physical + PPI Genetic + Co-expression + Co-essentiality</t>
  </si>
  <si>
    <t>Threshold ( &lt;= )</t>
  </si>
  <si>
    <t>Epouch</t>
  </si>
  <si>
    <t>PPI Physical + Co-expression</t>
  </si>
  <si>
    <t>Data</t>
  </si>
  <si>
    <t>BIOGRID: 716559
PPI-genetic: 10914
PPI-physical: 705645
co-exp: 584013
co-ess: 222770</t>
  </si>
  <si>
    <t>AUG</t>
  </si>
  <si>
    <t>FAILSE</t>
  </si>
  <si>
    <t>AVG:</t>
  </si>
  <si>
    <r>
      <t>PPI Physical + PPI Genetic + Co-expression + Co-essentiality + SLnetworkTransE-</t>
    </r>
    <r>
      <rPr>
        <b/>
        <sz val="12"/>
        <color rgb="FFFF0000"/>
        <rFont val="Times New Roman"/>
        <family val="1"/>
      </rPr>
      <t>K562</t>
    </r>
  </si>
  <si>
    <r>
      <t>PPI Physical + PPI Genetic + Co-expression + Co-essentiality + SLnetworkTransE-</t>
    </r>
    <r>
      <rPr>
        <b/>
        <sz val="12"/>
        <color rgb="FFFF0000"/>
        <rFont val="Times New Roman"/>
        <family val="1"/>
      </rPr>
      <t>Jurkat</t>
    </r>
  </si>
  <si>
    <r>
      <t>PPI Physical + PPI Genetic + Co-expression + Co-essentiality + SLnetworkTransE-</t>
    </r>
    <r>
      <rPr>
        <b/>
        <sz val="12"/>
        <color rgb="FFFF0000"/>
        <rFont val="Times New Roman"/>
        <family val="1"/>
      </rPr>
      <t>(K562_AUG-40)</t>
    </r>
  </si>
  <si>
    <r>
      <t>PPI Physical + PPI Genetic + Co-expression + Co-essentiality + SLnetworkTransE-</t>
    </r>
    <r>
      <rPr>
        <b/>
        <sz val="12"/>
        <color rgb="FFFF0000"/>
        <rFont val="Times New Roman"/>
        <family val="1"/>
      </rPr>
      <t>(Jurkat_AUG-40)</t>
    </r>
  </si>
  <si>
    <t>Kết quả của tác giả ( Jurkat )</t>
  </si>
  <si>
    <t>Kết quả của tác giả ( K562 )</t>
  </si>
  <si>
    <t>Kết quả Jurkat-TransE và Jurkat-TransE-AUG_( Áp dụng phương pháp tăng cường )</t>
  </si>
  <si>
    <t>Kết quả K562-TransE và K562-TransE-AUG_( Áp dụng phương pháp tăng cường )</t>
  </si>
  <si>
    <r>
      <t>PPI Physical + PPI Genetic + Co-expression + Co-essentiality+SLnetwork</t>
    </r>
    <r>
      <rPr>
        <b/>
        <sz val="12"/>
        <color rgb="FFFF0000"/>
        <rFont val="Times New Roman"/>
        <family val="1"/>
      </rPr>
      <t>K562</t>
    </r>
  </si>
  <si>
    <r>
      <t>PPI Physical + PPI Genetic + Co-expression + Co-essentiality+SLnetwork</t>
    </r>
    <r>
      <rPr>
        <b/>
        <sz val="12"/>
        <color rgb="FFFF0000"/>
        <rFont val="Times New Roman"/>
        <family val="1"/>
      </rPr>
      <t>Jurkat</t>
    </r>
  </si>
  <si>
    <r>
      <t>PPI Genetic + SLnetworkTransE-</t>
    </r>
    <r>
      <rPr>
        <b/>
        <sz val="12"/>
        <color rgb="FFFF0000"/>
        <rFont val="Times New Roman"/>
        <family val="1"/>
      </rPr>
      <t>(Jurkat_AUG-40)</t>
    </r>
  </si>
  <si>
    <r>
      <t>PPI Genetic + SLnetwork</t>
    </r>
    <r>
      <rPr>
        <b/>
        <sz val="12"/>
        <color rgb="FFFF0000"/>
        <rFont val="Times New Roman"/>
        <family val="1"/>
      </rPr>
      <t>Jurkat</t>
    </r>
  </si>
  <si>
    <r>
      <t>PPI Physical + SLnetwork</t>
    </r>
    <r>
      <rPr>
        <b/>
        <sz val="12"/>
        <color rgb="FFFF0000"/>
        <rFont val="Times New Roman"/>
        <family val="1"/>
      </rPr>
      <t>Jurkat</t>
    </r>
  </si>
  <si>
    <r>
      <t>PPI Physical + SLnetworkTransE-</t>
    </r>
    <r>
      <rPr>
        <b/>
        <sz val="12"/>
        <color rgb="FFFF0000"/>
        <rFont val="Times New Roman"/>
        <family val="1"/>
      </rPr>
      <t>(Jurkat_AUG-40)</t>
    </r>
  </si>
  <si>
    <r>
      <t xml:space="preserve"> Co-expression + SLnetwork</t>
    </r>
    <r>
      <rPr>
        <b/>
        <sz val="12"/>
        <color rgb="FFFF0000"/>
        <rFont val="Times New Roman"/>
        <family val="1"/>
      </rPr>
      <t>Jurkat</t>
    </r>
  </si>
  <si>
    <r>
      <t>Co-essentiality + SLnetwork</t>
    </r>
    <r>
      <rPr>
        <b/>
        <sz val="12"/>
        <color rgb="FFFF0000"/>
        <rFont val="Times New Roman"/>
        <family val="1"/>
      </rPr>
      <t>Jurkat</t>
    </r>
  </si>
  <si>
    <r>
      <t>Co-essentiality + SLnetworkTransE-</t>
    </r>
    <r>
      <rPr>
        <b/>
        <sz val="12"/>
        <color rgb="FFFF0000"/>
        <rFont val="Times New Roman"/>
        <family val="1"/>
      </rPr>
      <t>(Jurkat_AUG-40)</t>
    </r>
  </si>
  <si>
    <r>
      <t>Co-expression + SLnetworkTransE-</t>
    </r>
    <r>
      <rPr>
        <b/>
        <sz val="12"/>
        <color rgb="FFFF0000"/>
        <rFont val="Times New Roman"/>
        <family val="1"/>
      </rPr>
      <t>(Jurkat_AUG-40)</t>
    </r>
  </si>
  <si>
    <r>
      <t>PPI Genetic + SLnetworkTransE-</t>
    </r>
    <r>
      <rPr>
        <b/>
        <sz val="12"/>
        <color rgb="FFFF0000"/>
        <rFont val="Times New Roman"/>
        <family val="1"/>
      </rPr>
      <t>(K562_AUG-40)</t>
    </r>
  </si>
  <si>
    <r>
      <t>PPI Physical + SLnetworkTransE-</t>
    </r>
    <r>
      <rPr>
        <b/>
        <sz val="12"/>
        <color rgb="FFFF0000"/>
        <rFont val="Times New Roman"/>
        <family val="1"/>
      </rPr>
      <t>(K562_AUG-40)</t>
    </r>
  </si>
  <si>
    <r>
      <t>Co-expression + SLnetworkTransE-</t>
    </r>
    <r>
      <rPr>
        <b/>
        <sz val="12"/>
        <color rgb="FFFF0000"/>
        <rFont val="Times New Roman"/>
        <family val="1"/>
      </rPr>
      <t>(K562_AUG-40)</t>
    </r>
  </si>
  <si>
    <r>
      <t>Co-essentiality + SLnetworkTransE-</t>
    </r>
    <r>
      <rPr>
        <b/>
        <sz val="12"/>
        <color rgb="FFFF0000"/>
        <rFont val="Times New Roman"/>
        <family val="1"/>
      </rPr>
      <t>(K562_AUG-40)</t>
    </r>
  </si>
  <si>
    <r>
      <t>PPI Physical + PPI Genetic + Co-expression + Co-essentiality + SLnetworkTransE-</t>
    </r>
    <r>
      <rPr>
        <b/>
        <sz val="12"/>
        <color rgb="FFFF0000"/>
        <rFont val="Times New Roman"/>
        <family val="1"/>
      </rPr>
      <t>(Jurkat_AUG-80)</t>
    </r>
  </si>
  <si>
    <r>
      <t>PPI Physical + PPI Genetic + Co-expression + Co-essentiality + SLnetworkTransE-</t>
    </r>
    <r>
      <rPr>
        <b/>
        <sz val="12"/>
        <color rgb="FFFF0000"/>
        <rFont val="Times New Roman"/>
        <family val="1"/>
      </rPr>
      <t>(K562_AUG-80)</t>
    </r>
  </si>
  <si>
    <t>K562</t>
  </si>
  <si>
    <t>Jurkat</t>
  </si>
  <si>
    <t>K562_PPI-Genetic</t>
  </si>
  <si>
    <r>
      <t>PPI Genetic + SLnetworkTransE-</t>
    </r>
    <r>
      <rPr>
        <b/>
        <sz val="12"/>
        <color rgb="FFFF0000"/>
        <rFont val="Times New Roman"/>
        <family val="1"/>
      </rPr>
      <t>(K562_AUG-80)</t>
    </r>
  </si>
  <si>
    <r>
      <t>PPI Genetic + SLnetworkTransE-</t>
    </r>
    <r>
      <rPr>
        <b/>
        <sz val="12"/>
        <color rgb="FFFF0000"/>
        <rFont val="Times New Roman"/>
        <family val="1"/>
      </rPr>
      <t>(K562_AUG-100)</t>
    </r>
  </si>
  <si>
    <t>K562_PPI-Physical</t>
  </si>
  <si>
    <r>
      <t>PPI Physical + SLnetworkTransE-</t>
    </r>
    <r>
      <rPr>
        <b/>
        <sz val="12"/>
        <color rgb="FFFF0000"/>
        <rFont val="Times New Roman"/>
        <family val="1"/>
      </rPr>
      <t>(K562_AUG-80)</t>
    </r>
  </si>
  <si>
    <r>
      <t>PPI Physical + SLnetworkTransE-</t>
    </r>
    <r>
      <rPr>
        <b/>
        <sz val="12"/>
        <color rgb="FFFF0000"/>
        <rFont val="Times New Roman"/>
        <family val="1"/>
      </rPr>
      <t>(K562_AUG-100)</t>
    </r>
  </si>
  <si>
    <r>
      <t>PPI Physical + SLnetwork</t>
    </r>
    <r>
      <rPr>
        <b/>
        <sz val="12"/>
        <color rgb="FFFF0000"/>
        <rFont val="Times New Roman"/>
        <family val="1"/>
      </rPr>
      <t>K562</t>
    </r>
  </si>
  <si>
    <r>
      <t>PPI Genetic + SLnetwork</t>
    </r>
    <r>
      <rPr>
        <b/>
        <sz val="12"/>
        <color rgb="FFFF0000"/>
        <rFont val="Times New Roman"/>
        <family val="1"/>
      </rPr>
      <t>K562</t>
    </r>
  </si>
  <si>
    <t>K562_Co-expression</t>
  </si>
  <si>
    <t>K562_Co-essentiality</t>
  </si>
  <si>
    <t>Jurkat_PPI-Genetic</t>
  </si>
  <si>
    <t>Jurkat_PPI-Physical</t>
  </si>
  <si>
    <t>Jurkat_Co-expression</t>
  </si>
  <si>
    <t>Jurkat_Co-essentiality</t>
  </si>
  <si>
    <r>
      <t>PPI Genetic + SLnetworkTransE-</t>
    </r>
    <r>
      <rPr>
        <b/>
        <sz val="12"/>
        <color rgb="FFFF0000"/>
        <rFont val="Times New Roman"/>
        <family val="1"/>
      </rPr>
      <t>(Jurkat_AUG-80)</t>
    </r>
  </si>
  <si>
    <r>
      <t>PPI Genetic + SLnetworkTransE-</t>
    </r>
    <r>
      <rPr>
        <b/>
        <sz val="12"/>
        <color rgb="FFFF0000"/>
        <rFont val="Times New Roman"/>
        <family val="1"/>
      </rPr>
      <t>(Jurkat_AUG-100)</t>
    </r>
  </si>
  <si>
    <r>
      <t>PPI Physical + SLnetworkTransE-</t>
    </r>
    <r>
      <rPr>
        <b/>
        <sz val="12"/>
        <color rgb="FFFF0000"/>
        <rFont val="Times New Roman"/>
        <family val="1"/>
      </rPr>
      <t>(Jurkat_AUG-80)</t>
    </r>
  </si>
  <si>
    <r>
      <t>PPI Physical + SLnetworkTransE-</t>
    </r>
    <r>
      <rPr>
        <b/>
        <sz val="12"/>
        <color rgb="FFFF0000"/>
        <rFont val="Times New Roman"/>
        <family val="1"/>
      </rPr>
      <t>(Jurkat_AUG-100)</t>
    </r>
  </si>
  <si>
    <r>
      <t>Co-essentiality + SLnetworkTransE-</t>
    </r>
    <r>
      <rPr>
        <b/>
        <sz val="12"/>
        <color rgb="FFFF0000"/>
        <rFont val="Times New Roman"/>
        <family val="1"/>
      </rPr>
      <t>(Jurkat_AUG-80)</t>
    </r>
  </si>
  <si>
    <r>
      <t>Co-essentiality + SLnetworkTransE-</t>
    </r>
    <r>
      <rPr>
        <b/>
        <sz val="12"/>
        <color rgb="FFFF0000"/>
        <rFont val="Times New Roman"/>
        <family val="1"/>
      </rPr>
      <t>(Jurkat_AUG-100)</t>
    </r>
  </si>
  <si>
    <r>
      <t>Co-expression + SLnetwork</t>
    </r>
    <r>
      <rPr>
        <b/>
        <sz val="12"/>
        <color rgb="FFFF0000"/>
        <rFont val="Times New Roman"/>
        <family val="1"/>
      </rPr>
      <t>Jurkat</t>
    </r>
  </si>
  <si>
    <r>
      <t>Co-expression + SLnetworkTransE-</t>
    </r>
    <r>
      <rPr>
        <b/>
        <sz val="12"/>
        <color rgb="FFFF0000"/>
        <rFont val="Times New Roman"/>
        <family val="1"/>
      </rPr>
      <t>(Jurkat_AUG-80)</t>
    </r>
  </si>
  <si>
    <r>
      <t>Co-expression + SLnetworkTransE-</t>
    </r>
    <r>
      <rPr>
        <b/>
        <sz val="12"/>
        <color rgb="FFFF0000"/>
        <rFont val="Times New Roman"/>
        <family val="1"/>
      </rPr>
      <t>(Jurkat_AUG-100)</t>
    </r>
  </si>
  <si>
    <r>
      <t>Co-essentiality + SLnetwork</t>
    </r>
    <r>
      <rPr>
        <b/>
        <sz val="12"/>
        <color rgb="FFFF0000"/>
        <rFont val="Times New Roman"/>
        <family val="1"/>
      </rPr>
      <t>K562</t>
    </r>
  </si>
  <si>
    <r>
      <t>Co-essentiality + SLnetworkTransE-</t>
    </r>
    <r>
      <rPr>
        <b/>
        <sz val="12"/>
        <color rgb="FFFF0000"/>
        <rFont val="Times New Roman"/>
        <family val="1"/>
      </rPr>
      <t>(K562_AUG-80)</t>
    </r>
  </si>
  <si>
    <r>
      <t>Co-essentiality + SLnetworkTransE-</t>
    </r>
    <r>
      <rPr>
        <b/>
        <sz val="12"/>
        <color rgb="FFFF0000"/>
        <rFont val="Times New Roman"/>
        <family val="1"/>
      </rPr>
      <t>(K562_AUG-100)</t>
    </r>
  </si>
  <si>
    <r>
      <t>Co-expression + SLnetwork</t>
    </r>
    <r>
      <rPr>
        <b/>
        <sz val="12"/>
        <color rgb="FFFF0000"/>
        <rFont val="Times New Roman"/>
        <family val="1"/>
      </rPr>
      <t>K562</t>
    </r>
  </si>
  <si>
    <r>
      <t>Co-expression + SLnetworkTransE-</t>
    </r>
    <r>
      <rPr>
        <b/>
        <sz val="12"/>
        <color rgb="FFFF0000"/>
        <rFont val="Times New Roman"/>
        <family val="1"/>
      </rPr>
      <t>(K562_AUG-80)</t>
    </r>
  </si>
  <si>
    <r>
      <t>Co-expression + SLnetworkTransE-</t>
    </r>
    <r>
      <rPr>
        <b/>
        <sz val="12"/>
        <color rgb="FFFF0000"/>
        <rFont val="Times New Roman"/>
        <family val="1"/>
      </rPr>
      <t>(K562_AUG-100)</t>
    </r>
  </si>
  <si>
    <r>
      <t>PPI Physical + PPI Genetic + Co-expression + Co-essentiality + SLnetworkTransE-</t>
    </r>
    <r>
      <rPr>
        <b/>
        <sz val="14"/>
        <color rgb="FFFF0000"/>
        <rFont val="Times New Roman"/>
        <family val="1"/>
      </rPr>
      <t>(K562_AUG-80)</t>
    </r>
  </si>
  <si>
    <r>
      <t>PPI Physical + PPI Genetic + Co-expression + Co-essentiality + SLnetworkTransE-</t>
    </r>
    <r>
      <rPr>
        <b/>
        <sz val="14"/>
        <color rgb="FFFF0000"/>
        <rFont val="Times New Roman"/>
        <family val="1"/>
      </rPr>
      <t>(K562_AUG-40)</t>
    </r>
  </si>
  <si>
    <r>
      <t>PPI Physical + PPI Genetic + Co-expression + Co-essentiality + SLnetwork</t>
    </r>
    <r>
      <rPr>
        <b/>
        <sz val="14"/>
        <color rgb="FFFF0000"/>
        <rFont val="Times New Roman"/>
        <family val="1"/>
      </rPr>
      <t>TransE-K562</t>
    </r>
  </si>
  <si>
    <r>
      <t>PPI Physical + PPI Genetic + Co-expression + Co-essentiality+SLnetwork</t>
    </r>
    <r>
      <rPr>
        <b/>
        <sz val="14"/>
        <color rgb="FFFF0000"/>
        <rFont val="Times New Roman"/>
        <family val="1"/>
      </rPr>
      <t>K562</t>
    </r>
  </si>
  <si>
    <r>
      <t>PPI Physical + PPI Genetic + Co-expression + Co-essentiality + SLnetworkTransE-</t>
    </r>
    <r>
      <rPr>
        <b/>
        <sz val="14"/>
        <color rgb="FFFF0000"/>
        <rFont val="Times New Roman"/>
        <family val="1"/>
      </rPr>
      <t>(K562_AUG-100)</t>
    </r>
  </si>
  <si>
    <r>
      <t>PPI Physical + PPI Genetic + Co-expression + Co-essentiality + SLnetworkTransE-</t>
    </r>
    <r>
      <rPr>
        <b/>
        <sz val="14"/>
        <color rgb="FFFF0000"/>
        <rFont val="Times New Roman"/>
        <family val="1"/>
      </rPr>
      <t>(Jurkat_AUG-100)</t>
    </r>
  </si>
  <si>
    <r>
      <t>PPI Physical + PPI Genetic + Co-expression + Co-essentiality + SLnetworkTransE-</t>
    </r>
    <r>
      <rPr>
        <b/>
        <sz val="14"/>
        <color rgb="FFFF0000"/>
        <rFont val="Times New Roman"/>
        <family val="1"/>
      </rPr>
      <t>(Jurkat_AUG-80)</t>
    </r>
  </si>
  <si>
    <r>
      <t>PPI Physical + PPI Genetic + Co-expression + Co-essentiality+SLnetwork</t>
    </r>
    <r>
      <rPr>
        <b/>
        <sz val="14"/>
        <color rgb="FFFF0000"/>
        <rFont val="Times New Roman"/>
        <family val="1"/>
      </rPr>
      <t>Jurkat</t>
    </r>
  </si>
  <si>
    <r>
      <t>PPI Physical + PPI Genetic + Co-expression + Co-essentiality + SLnetworkTransE-</t>
    </r>
    <r>
      <rPr>
        <b/>
        <sz val="14"/>
        <color rgb="FFFF0000"/>
        <rFont val="Times New Roman"/>
        <family val="1"/>
      </rPr>
      <t>Jurkat</t>
    </r>
  </si>
  <si>
    <r>
      <t>PPI Physical + PPI Genetic + Co-expression + Co-essentiality + SLnetworkTransE-</t>
    </r>
    <r>
      <rPr>
        <b/>
        <sz val="14"/>
        <color rgb="FFFF0000"/>
        <rFont val="Times New Roman"/>
        <family val="1"/>
      </rPr>
      <t>(Jurkat_AUG-40)</t>
    </r>
  </si>
  <si>
    <t>GIN (PPI) + GCN( Slnetwork transE)</t>
  </si>
  <si>
    <t>3GCN</t>
  </si>
  <si>
    <t>GAT + GCN/GAT</t>
  </si>
  <si>
    <t>GIN (PPI_Phy + PPI_Genetic) + GCN( Slnetwork transE)</t>
  </si>
  <si>
    <t>Đơn dữ liệu + TRansE (chưa tăng cường) để so sánh với chưa TransE</t>
  </si>
  <si>
    <t>NS4SL: TransE+ Tăng cường</t>
  </si>
  <si>
    <t>TrasE tốt hơn, so sánh với bài GCN + 4 networks</t>
  </si>
  <si>
    <t>Tăng cường tốt hơn ( so sánh cùng một dữ liệu đơn (1 network) + tăng cường) =&gt; tăng bao nhiêu thì tốt nhất (80% ổn định trong bao nhiêu cặp kết hợp, và tương ứng với bộ DL nào
 hoặc dữ liệu đơn (cell) nào tốt nhất</t>
  </si>
  <si>
    <t>KQ</t>
  </si>
  <si>
    <t>anh.tq222225m@sis.hust.edu.vn</t>
  </si>
  <si>
    <r>
      <t>4 network + SLnetwork</t>
    </r>
    <r>
      <rPr>
        <b/>
        <sz val="12"/>
        <color rgb="FFFF0000"/>
        <rFont val="Times New Roman"/>
        <family val="1"/>
      </rPr>
      <t>K562</t>
    </r>
  </si>
  <si>
    <r>
      <t>4 network + SLnetworkTransE-</t>
    </r>
    <r>
      <rPr>
        <b/>
        <sz val="12"/>
        <color rgb="FFFF0000"/>
        <rFont val="Times New Roman"/>
        <family val="1"/>
      </rPr>
      <t>(K562_AUG-40)</t>
    </r>
  </si>
  <si>
    <r>
      <t>4 network + SLnetworkTransE-</t>
    </r>
    <r>
      <rPr>
        <b/>
        <sz val="12"/>
        <color rgb="FFFF0000"/>
        <rFont val="Times New Roman"/>
        <family val="1"/>
      </rPr>
      <t>(K562_AUG-80)</t>
    </r>
  </si>
  <si>
    <r>
      <t>4 network + SLnetworkTransE-</t>
    </r>
    <r>
      <rPr>
        <b/>
        <sz val="12"/>
        <color rgb="FFFF0000"/>
        <rFont val="Times New Roman"/>
        <family val="1"/>
      </rPr>
      <t>(K562_AUG-100)</t>
    </r>
  </si>
  <si>
    <r>
      <t>4 network + SLnetwork</t>
    </r>
    <r>
      <rPr>
        <b/>
        <sz val="12"/>
        <color rgb="FFFF0000"/>
        <rFont val="Times New Roman"/>
        <family val="1"/>
      </rPr>
      <t>Jurkat</t>
    </r>
  </si>
  <si>
    <r>
      <t>4 network + SLnetworkTransE-</t>
    </r>
    <r>
      <rPr>
        <b/>
        <sz val="12"/>
        <color rgb="FFFF0000"/>
        <rFont val="Times New Roman"/>
        <family val="1"/>
      </rPr>
      <t>(Jurkat_AUG-40)</t>
    </r>
  </si>
  <si>
    <r>
      <t>4 network + SLnetworkTransE-</t>
    </r>
    <r>
      <rPr>
        <b/>
        <sz val="12"/>
        <color rgb="FFFF0000"/>
        <rFont val="Times New Roman"/>
        <family val="1"/>
      </rPr>
      <t>(Jurkat_AUG-80)</t>
    </r>
  </si>
  <si>
    <r>
      <t>4 network + SLnetworkTransE-</t>
    </r>
    <r>
      <rPr>
        <b/>
        <sz val="12"/>
        <color rgb="FFFF0000"/>
        <rFont val="Times New Roman"/>
        <family val="1"/>
      </rPr>
      <t>(Jurkat_AUG-100)</t>
    </r>
  </si>
  <si>
    <r>
      <t>4 network + SLnetwork</t>
    </r>
    <r>
      <rPr>
        <b/>
        <sz val="12"/>
        <color rgb="FFFF0000"/>
        <rFont val="Times New Roman"/>
        <family val="1"/>
      </rPr>
      <t>TransE-K562</t>
    </r>
  </si>
  <si>
    <r>
      <t>4 network + SLnetwork</t>
    </r>
    <r>
      <rPr>
        <b/>
        <sz val="12"/>
        <color rgb="FFFF0000"/>
        <rFont val="Times New Roman"/>
        <family val="1"/>
      </rPr>
      <t>TransE-Jurkat</t>
    </r>
  </si>
  <si>
    <r>
      <t>Co-essentiality + SLnetworkTransE_</t>
    </r>
    <r>
      <rPr>
        <b/>
        <sz val="12"/>
        <color rgb="FFFF0000"/>
        <rFont val="Times New Roman"/>
        <family val="1"/>
      </rPr>
      <t>Jurkat</t>
    </r>
  </si>
  <si>
    <r>
      <t>Co-expression + SLnetworkTransE_</t>
    </r>
    <r>
      <rPr>
        <b/>
        <sz val="12"/>
        <color rgb="FFFF0000"/>
        <rFont val="Times New Roman"/>
        <family val="1"/>
      </rPr>
      <t>Jurkat</t>
    </r>
  </si>
  <si>
    <r>
      <t>PPI Physical + SLnetworkTransE_</t>
    </r>
    <r>
      <rPr>
        <b/>
        <sz val="12"/>
        <color rgb="FFFF0000"/>
        <rFont val="Times New Roman"/>
        <family val="1"/>
      </rPr>
      <t>Jurkat</t>
    </r>
  </si>
  <si>
    <r>
      <t>PPI Genetic + SLnetworkTransE_</t>
    </r>
    <r>
      <rPr>
        <b/>
        <sz val="12"/>
        <color rgb="FFFF0000"/>
        <rFont val="Times New Roman"/>
        <family val="1"/>
      </rPr>
      <t>Jurkat</t>
    </r>
  </si>
  <si>
    <r>
      <t xml:space="preserve">Kết hợp phương pháp tính toán tốt hơn </t>
    </r>
    <r>
      <rPr>
        <sz val="13"/>
        <color rgb="FFFF0000"/>
        <rFont val="Times New Roman"/>
        <family val="1"/>
      </rPr>
      <t>(GIN ????)</t>
    </r>
    <r>
      <rPr>
        <sz val="13"/>
        <color theme="1"/>
        <rFont val="Times New Roman"/>
        <family val="1"/>
      </rPr>
      <t xml:space="preserve"> = 5layers
 ===&gt; GNN nào là tốt nhất cho bài toán này GCN ? GIN ? GIN + GCN ???
- Tăng cường 1 lớp </t>
    </r>
    <r>
      <rPr>
        <b/>
        <sz val="13"/>
        <color theme="1"/>
        <rFont val="Times New Roman"/>
        <family val="1"/>
      </rPr>
      <t>transformer ???</t>
    </r>
    <r>
      <rPr>
        <sz val="13"/>
        <color theme="1"/>
        <rFont val="Times New Roman"/>
        <family val="1"/>
      </rPr>
      <t xml:space="preserve"> </t>
    </r>
  </si>
  <si>
    <r>
      <t>PPI Genetic + SLnetwork</t>
    </r>
    <r>
      <rPr>
        <b/>
        <sz val="12"/>
        <color rgb="FFFF0000"/>
        <rFont val="Times New Roman"/>
        <family val="1"/>
      </rPr>
      <t>TransE_K562</t>
    </r>
  </si>
  <si>
    <r>
      <t xml:space="preserve">- Bổ sung bảng so sánh P các dữ liệu đơn + TransE/Non_TransE trên từng tập DL
BDD so sánh 4 networks... TransE trên từng tập dữ liệu
- BD so sánh các mức tăng cường khác nhau (trên các tập kết hợp khác nhau)
</t>
    </r>
    <r>
      <rPr>
        <sz val="13"/>
        <color rgb="FFFF0000"/>
        <rFont val="Times New Roman"/>
        <family val="1"/>
      </rPr>
      <t xml:space="preserve">top các cặp có errors thấp nhất , tìm evidence tương ứng.... nếu có </t>
    </r>
    <r>
      <rPr>
        <sz val="13"/>
        <color theme="1"/>
        <rFont val="Times New Roman"/>
        <family val="1"/>
      </rPr>
      <t xml:space="preserve">
</t>
    </r>
  </si>
  <si>
    <r>
      <t>PPI Physical + SLnetwork</t>
    </r>
    <r>
      <rPr>
        <b/>
        <sz val="12"/>
        <color rgb="FFFF0000"/>
        <rFont val="Times New Roman"/>
        <family val="1"/>
      </rPr>
      <t>TransE_K562</t>
    </r>
  </si>
  <si>
    <r>
      <t>Co-expression + SLnetwork</t>
    </r>
    <r>
      <rPr>
        <b/>
        <sz val="12"/>
        <color rgb="FFFF0000"/>
        <rFont val="Times New Roman"/>
        <family val="1"/>
      </rPr>
      <t>TransE_K562</t>
    </r>
  </si>
  <si>
    <r>
      <t>Co-essentiality + SLnetwork</t>
    </r>
    <r>
      <rPr>
        <b/>
        <sz val="12"/>
        <color rgb="FFFF0000"/>
        <rFont val="Times New Roman"/>
        <family val="1"/>
      </rPr>
      <t>TransE_K562</t>
    </r>
  </si>
  <si>
    <t>0.7582 ± 0.0040</t>
  </si>
  <si>
    <t>0.7534 ± 0.0025</t>
  </si>
  <si>
    <t>0.9032 ± 0.0000</t>
  </si>
  <si>
    <t>0.8831 ± 0.0081</t>
  </si>
  <si>
    <t>0.8405 ± 0.0021</t>
  </si>
  <si>
    <t>0.8298 ± 0.0019</t>
  </si>
  <si>
    <t>0.9113 ± 0.0162</t>
  </si>
  <si>
    <t>0.9154 ± 0.0081</t>
  </si>
  <si>
    <t>0.8428 ± 0.0021</t>
  </si>
  <si>
    <t>0.8332 ± 0.0014</t>
  </si>
  <si>
    <t>0.9436 ± 0.0161</t>
  </si>
  <si>
    <t>0.9113 ± 0.0094</t>
  </si>
  <si>
    <t>0.8394 ± 0.0017</t>
  </si>
  <si>
    <t>0.8286 ± 0.0029</t>
  </si>
  <si>
    <t>0.8992 ± 0.0081</t>
  </si>
  <si>
    <t>0.8289 ± 0.0039</t>
  </si>
  <si>
    <t>0.8183 ± 0.0032</t>
  </si>
  <si>
    <t>0.9032 ± 0.0228</t>
  </si>
  <si>
    <t>0.7564 ± 0.0008</t>
  </si>
  <si>
    <t>0.7681 ± 0.0012</t>
  </si>
  <si>
    <t>0.8333 ± 0.0000</t>
  </si>
  <si>
    <t>0.9167 ± 0.0000</t>
  </si>
  <si>
    <t>0.9375 ± 0.0798</t>
  </si>
  <si>
    <t>1.0000 ± 0.0000</t>
  </si>
  <si>
    <t>0.8379 ± 0.0155</t>
  </si>
  <si>
    <t>0.8259 ± 0.0014</t>
  </si>
  <si>
    <t>0.8248 ± 0.0024</t>
  </si>
  <si>
    <t>0.8339 ± 0.0005</t>
  </si>
  <si>
    <t>0.9375 ± 0.0417</t>
  </si>
  <si>
    <t>0.8218 ± 0.0061</t>
  </si>
  <si>
    <t>0.8038 ± 0.0061</t>
  </si>
  <si>
    <t>0.7889 ± 0.0059</t>
  </si>
  <si>
    <t>0.7837 ± 0.0067</t>
  </si>
  <si>
    <t>Jurkat + 4 network</t>
  </si>
  <si>
    <t>K562 + 4 network</t>
  </si>
  <si>
    <t>GIN (PPI_Phy + PPI_Genetic) + GCN( SLnetwork transE)</t>
  </si>
  <si>
    <t>GIN (PPI) + GCN( SLnetwork transE)</t>
  </si>
  <si>
    <t>K562 + PPI-Physical</t>
  </si>
  <si>
    <t>K562 + PPI-Genetic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</si>
</sst>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3" fillId="0" borderId="0" xfId="0" applyFont="1"/>
    <xf numFmtId="0" fontId="2" fillId="0" borderId="0" xfId="0" applyFont="1" applyAlignment="1">
      <alignment vertical="center" wrapText="1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164" fontId="5" fillId="0" borderId="10" xfId="1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0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4" borderId="14" xfId="0" applyFont="1" applyFill="1" applyBorder="1" applyAlignment="1">
      <alignment horizontal="left" vertical="top" wrapText="1"/>
    </xf>
    <xf numFmtId="0" fontId="10" fillId="4" borderId="14" xfId="0" applyFont="1" applyFill="1" applyBorder="1" applyAlignment="1">
      <alignment horizontal="left" vertical="top"/>
    </xf>
    <xf numFmtId="0" fontId="10" fillId="2" borderId="3" xfId="0" quotePrefix="1" applyFont="1" applyFill="1" applyBorder="1" applyAlignment="1">
      <alignment horizontal="left" wrapText="1"/>
    </xf>
    <xf numFmtId="0" fontId="10" fillId="2" borderId="3" xfId="0" applyFont="1" applyFill="1" applyBorder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@10" TargetMode="External"/><Relationship Id="rId3" Type="http://schemas.openxmlformats.org/officeDocument/2006/relationships/hyperlink" Target="mailto:P@5" TargetMode="External"/><Relationship Id="rId7" Type="http://schemas.openxmlformats.org/officeDocument/2006/relationships/hyperlink" Target="mailto:P@5" TargetMode="External"/><Relationship Id="rId2" Type="http://schemas.openxmlformats.org/officeDocument/2006/relationships/hyperlink" Target="mailto:P@10" TargetMode="External"/><Relationship Id="rId1" Type="http://schemas.openxmlformats.org/officeDocument/2006/relationships/hyperlink" Target="mailto:P@5" TargetMode="External"/><Relationship Id="rId6" Type="http://schemas.openxmlformats.org/officeDocument/2006/relationships/hyperlink" Target="mailto:P@10" TargetMode="External"/><Relationship Id="rId5" Type="http://schemas.openxmlformats.org/officeDocument/2006/relationships/hyperlink" Target="mailto:P@5" TargetMode="External"/><Relationship Id="rId4" Type="http://schemas.openxmlformats.org/officeDocument/2006/relationships/hyperlink" Target="mailto:P@10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@10" TargetMode="External"/><Relationship Id="rId3" Type="http://schemas.openxmlformats.org/officeDocument/2006/relationships/hyperlink" Target="mailto:P@5" TargetMode="External"/><Relationship Id="rId7" Type="http://schemas.openxmlformats.org/officeDocument/2006/relationships/hyperlink" Target="mailto:P@5" TargetMode="External"/><Relationship Id="rId2" Type="http://schemas.openxmlformats.org/officeDocument/2006/relationships/hyperlink" Target="mailto:P@10" TargetMode="External"/><Relationship Id="rId1" Type="http://schemas.openxmlformats.org/officeDocument/2006/relationships/hyperlink" Target="mailto:P@5" TargetMode="External"/><Relationship Id="rId6" Type="http://schemas.openxmlformats.org/officeDocument/2006/relationships/hyperlink" Target="mailto:P@10" TargetMode="External"/><Relationship Id="rId5" Type="http://schemas.openxmlformats.org/officeDocument/2006/relationships/hyperlink" Target="mailto:P@5" TargetMode="External"/><Relationship Id="rId4" Type="http://schemas.openxmlformats.org/officeDocument/2006/relationships/hyperlink" Target="mailto:P@10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@10" TargetMode="External"/><Relationship Id="rId13" Type="http://schemas.openxmlformats.org/officeDocument/2006/relationships/hyperlink" Target="mailto:P@5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mailto:P@5" TargetMode="External"/><Relationship Id="rId7" Type="http://schemas.openxmlformats.org/officeDocument/2006/relationships/hyperlink" Target="mailto:P@5" TargetMode="External"/><Relationship Id="rId12" Type="http://schemas.openxmlformats.org/officeDocument/2006/relationships/hyperlink" Target="mailto:P@10" TargetMode="External"/><Relationship Id="rId17" Type="http://schemas.openxmlformats.org/officeDocument/2006/relationships/hyperlink" Target="mailto:anh.tq222225m@sis.hust.edu.vn" TargetMode="External"/><Relationship Id="rId2" Type="http://schemas.openxmlformats.org/officeDocument/2006/relationships/hyperlink" Target="mailto:P@10" TargetMode="External"/><Relationship Id="rId16" Type="http://schemas.openxmlformats.org/officeDocument/2006/relationships/hyperlink" Target="mailto:P@10" TargetMode="External"/><Relationship Id="rId1" Type="http://schemas.openxmlformats.org/officeDocument/2006/relationships/hyperlink" Target="mailto:P@5" TargetMode="External"/><Relationship Id="rId6" Type="http://schemas.openxmlformats.org/officeDocument/2006/relationships/hyperlink" Target="mailto:P@10" TargetMode="External"/><Relationship Id="rId11" Type="http://schemas.openxmlformats.org/officeDocument/2006/relationships/hyperlink" Target="mailto:P@5" TargetMode="External"/><Relationship Id="rId5" Type="http://schemas.openxmlformats.org/officeDocument/2006/relationships/hyperlink" Target="mailto:P@5" TargetMode="External"/><Relationship Id="rId15" Type="http://schemas.openxmlformats.org/officeDocument/2006/relationships/hyperlink" Target="mailto:P@5" TargetMode="External"/><Relationship Id="rId10" Type="http://schemas.openxmlformats.org/officeDocument/2006/relationships/hyperlink" Target="mailto:P@10" TargetMode="External"/><Relationship Id="rId4" Type="http://schemas.openxmlformats.org/officeDocument/2006/relationships/hyperlink" Target="mailto:P@10" TargetMode="External"/><Relationship Id="rId9" Type="http://schemas.openxmlformats.org/officeDocument/2006/relationships/hyperlink" Target="mailto:P@5" TargetMode="External"/><Relationship Id="rId14" Type="http://schemas.openxmlformats.org/officeDocument/2006/relationships/hyperlink" Target="mailto:P@1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@10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mailto:P@5" TargetMode="External"/><Relationship Id="rId7" Type="http://schemas.openxmlformats.org/officeDocument/2006/relationships/hyperlink" Target="mailto:P@5" TargetMode="External"/><Relationship Id="rId12" Type="http://schemas.openxmlformats.org/officeDocument/2006/relationships/hyperlink" Target="mailto:P@10" TargetMode="External"/><Relationship Id="rId2" Type="http://schemas.openxmlformats.org/officeDocument/2006/relationships/hyperlink" Target="mailto:P@10" TargetMode="External"/><Relationship Id="rId1" Type="http://schemas.openxmlformats.org/officeDocument/2006/relationships/hyperlink" Target="mailto:P@5" TargetMode="External"/><Relationship Id="rId6" Type="http://schemas.openxmlformats.org/officeDocument/2006/relationships/hyperlink" Target="mailto:P@10" TargetMode="External"/><Relationship Id="rId11" Type="http://schemas.openxmlformats.org/officeDocument/2006/relationships/hyperlink" Target="mailto:P@5" TargetMode="External"/><Relationship Id="rId5" Type="http://schemas.openxmlformats.org/officeDocument/2006/relationships/hyperlink" Target="mailto:P@5" TargetMode="External"/><Relationship Id="rId10" Type="http://schemas.openxmlformats.org/officeDocument/2006/relationships/hyperlink" Target="mailto:P@10" TargetMode="External"/><Relationship Id="rId4" Type="http://schemas.openxmlformats.org/officeDocument/2006/relationships/hyperlink" Target="mailto:P@10" TargetMode="External"/><Relationship Id="rId9" Type="http://schemas.openxmlformats.org/officeDocument/2006/relationships/hyperlink" Target="mailto:P@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110"/>
  <sheetViews>
    <sheetView zoomScale="80" zoomScaleNormal="80" workbookViewId="0">
      <selection activeCell="X90" sqref="X90:AA92"/>
    </sheetView>
  </sheetViews>
  <sheetFormatPr baseColWidth="10" defaultColWidth="8.83203125" defaultRowHeight="15" x14ac:dyDescent="0.2"/>
  <cols>
    <col min="1" max="1" width="10.5" customWidth="1"/>
    <col min="2" max="2" width="11.1640625" customWidth="1"/>
    <col min="3" max="3" width="20.5" customWidth="1"/>
    <col min="4" max="4" width="9.1640625" customWidth="1"/>
    <col min="7" max="7" width="18.6640625" customWidth="1"/>
    <col min="8" max="8" width="8.5" customWidth="1"/>
    <col min="9" max="10" width="8.1640625" customWidth="1"/>
    <col min="11" max="11" width="8" customWidth="1"/>
    <col min="18" max="18" width="24" customWidth="1"/>
    <col min="22" max="22" width="20.83203125" customWidth="1"/>
  </cols>
  <sheetData>
    <row r="2" spans="2:30" x14ac:dyDescent="0.2">
      <c r="B2" s="39" t="s">
        <v>29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Q2" s="39" t="s">
        <v>28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2:30" ht="14.25" customHeight="1" x14ac:dyDescent="0.2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spans="2:30" ht="16" x14ac:dyDescent="0.2">
      <c r="B4" s="39" t="s">
        <v>1</v>
      </c>
      <c r="C4" s="36" t="s">
        <v>0</v>
      </c>
      <c r="D4" s="37"/>
      <c r="E4" s="37"/>
      <c r="F4" s="37"/>
      <c r="G4" s="37"/>
      <c r="H4" s="38"/>
      <c r="I4" s="39" t="s">
        <v>2</v>
      </c>
      <c r="J4" s="39"/>
      <c r="K4" s="39"/>
      <c r="L4" s="39"/>
      <c r="M4" s="39" t="s">
        <v>19</v>
      </c>
      <c r="N4" s="39"/>
      <c r="O4" s="39"/>
      <c r="Q4" s="39" t="s">
        <v>1</v>
      </c>
      <c r="R4" s="36" t="s">
        <v>0</v>
      </c>
      <c r="S4" s="37"/>
      <c r="T4" s="37"/>
      <c r="U4" s="37"/>
      <c r="V4" s="37"/>
      <c r="W4" s="38"/>
      <c r="X4" s="39" t="s">
        <v>2</v>
      </c>
      <c r="Y4" s="39"/>
      <c r="Z4" s="39"/>
      <c r="AA4" s="39"/>
      <c r="AB4" s="39" t="s">
        <v>19</v>
      </c>
      <c r="AC4" s="39"/>
      <c r="AD4" s="39"/>
    </row>
    <row r="5" spans="2:30" ht="16" x14ac:dyDescent="0.2">
      <c r="B5" s="39"/>
      <c r="C5" s="39" t="s">
        <v>4</v>
      </c>
      <c r="D5" s="39"/>
      <c r="E5" s="39"/>
      <c r="F5" s="3" t="s">
        <v>17</v>
      </c>
      <c r="G5" s="3" t="s">
        <v>16</v>
      </c>
      <c r="H5" s="4" t="s">
        <v>21</v>
      </c>
      <c r="I5" s="1" t="s">
        <v>5</v>
      </c>
      <c r="J5" s="1" t="s">
        <v>6</v>
      </c>
      <c r="K5" s="2" t="s">
        <v>7</v>
      </c>
      <c r="L5" s="2" t="s">
        <v>8</v>
      </c>
      <c r="M5" s="39"/>
      <c r="N5" s="39"/>
      <c r="O5" s="39"/>
      <c r="Q5" s="39"/>
      <c r="R5" s="39" t="s">
        <v>4</v>
      </c>
      <c r="S5" s="39"/>
      <c r="T5" s="39"/>
      <c r="U5" s="3" t="s">
        <v>17</v>
      </c>
      <c r="V5" s="3" t="s">
        <v>16</v>
      </c>
      <c r="W5" s="4" t="s">
        <v>21</v>
      </c>
      <c r="X5" s="1" t="s">
        <v>5</v>
      </c>
      <c r="Y5" s="1" t="s">
        <v>6</v>
      </c>
      <c r="Z5" s="2" t="s">
        <v>7</v>
      </c>
      <c r="AA5" s="2" t="s">
        <v>8</v>
      </c>
      <c r="AB5" s="39"/>
      <c r="AC5" s="39"/>
      <c r="AD5" s="39"/>
    </row>
    <row r="6" spans="2:30" ht="15.75" customHeight="1" x14ac:dyDescent="0.2">
      <c r="B6" s="29" t="s">
        <v>3</v>
      </c>
      <c r="C6" s="20" t="s">
        <v>15</v>
      </c>
      <c r="D6" s="21"/>
      <c r="E6" s="21"/>
      <c r="F6" s="22">
        <v>1500</v>
      </c>
      <c r="G6" s="22">
        <v>0</v>
      </c>
      <c r="H6" s="22" t="s">
        <v>22</v>
      </c>
      <c r="I6" s="29">
        <v>0.71970000000000001</v>
      </c>
      <c r="J6" s="29">
        <v>0.70520000000000005</v>
      </c>
      <c r="K6" s="40">
        <v>0.85340000000000005</v>
      </c>
      <c r="L6" s="43">
        <v>0.81810000000000005</v>
      </c>
      <c r="M6" s="46" t="s">
        <v>20</v>
      </c>
      <c r="N6" s="47"/>
      <c r="O6" s="48"/>
      <c r="Q6" s="22" t="s">
        <v>3</v>
      </c>
      <c r="R6" s="20" t="s">
        <v>33</v>
      </c>
      <c r="S6" s="21"/>
      <c r="T6" s="21"/>
      <c r="U6" s="22">
        <v>1500</v>
      </c>
      <c r="V6" s="22">
        <v>-3</v>
      </c>
      <c r="W6" s="22" t="b">
        <v>0</v>
      </c>
      <c r="X6" s="17">
        <v>0.79549999999999998</v>
      </c>
      <c r="Y6" s="17">
        <v>0.78990000000000005</v>
      </c>
      <c r="Z6" s="58">
        <v>0.83330000000000004</v>
      </c>
      <c r="AA6" s="61">
        <v>0.91669999999999996</v>
      </c>
      <c r="AB6" s="70" t="s">
        <v>20</v>
      </c>
      <c r="AC6" s="70"/>
      <c r="AD6" s="70"/>
    </row>
    <row r="7" spans="2:30" ht="15" customHeight="1" x14ac:dyDescent="0.2">
      <c r="B7" s="30"/>
      <c r="C7" s="20"/>
      <c r="D7" s="21"/>
      <c r="E7" s="21"/>
      <c r="F7" s="22"/>
      <c r="G7" s="22"/>
      <c r="H7" s="22"/>
      <c r="I7" s="30"/>
      <c r="J7" s="30"/>
      <c r="K7" s="41"/>
      <c r="L7" s="44"/>
      <c r="M7" s="49"/>
      <c r="N7" s="50"/>
      <c r="O7" s="51"/>
      <c r="Q7" s="22"/>
      <c r="R7" s="20"/>
      <c r="S7" s="21"/>
      <c r="T7" s="21"/>
      <c r="U7" s="22"/>
      <c r="V7" s="22"/>
      <c r="W7" s="22"/>
      <c r="X7" s="18"/>
      <c r="Y7" s="18"/>
      <c r="Z7" s="59"/>
      <c r="AA7" s="62"/>
      <c r="AB7" s="70"/>
      <c r="AC7" s="70"/>
      <c r="AD7" s="70"/>
    </row>
    <row r="8" spans="2:30" ht="15" customHeight="1" x14ac:dyDescent="0.2">
      <c r="B8" s="30"/>
      <c r="C8" s="20"/>
      <c r="D8" s="21"/>
      <c r="E8" s="21"/>
      <c r="F8" s="22"/>
      <c r="G8" s="22"/>
      <c r="H8" s="22"/>
      <c r="I8" s="31"/>
      <c r="J8" s="31"/>
      <c r="K8" s="42"/>
      <c r="L8" s="45"/>
      <c r="M8" s="49"/>
      <c r="N8" s="50"/>
      <c r="O8" s="51"/>
      <c r="Q8" s="22"/>
      <c r="R8" s="20"/>
      <c r="S8" s="21"/>
      <c r="T8" s="21"/>
      <c r="U8" s="22"/>
      <c r="V8" s="22"/>
      <c r="W8" s="22"/>
      <c r="X8" s="19"/>
      <c r="Y8" s="19"/>
      <c r="Z8" s="60"/>
      <c r="AA8" s="63"/>
      <c r="AB8" s="70"/>
      <c r="AC8" s="70"/>
      <c r="AD8" s="70"/>
    </row>
    <row r="9" spans="2:30" ht="15" customHeight="1" x14ac:dyDescent="0.2">
      <c r="B9" s="30"/>
      <c r="C9" s="20" t="s">
        <v>15</v>
      </c>
      <c r="D9" s="21"/>
      <c r="E9" s="21"/>
      <c r="F9" s="22">
        <v>1500</v>
      </c>
      <c r="G9" s="22">
        <v>0</v>
      </c>
      <c r="H9" s="22" t="b">
        <v>0</v>
      </c>
      <c r="I9" s="27">
        <v>0.72660000000000002</v>
      </c>
      <c r="J9" s="27">
        <v>0.71799999999999997</v>
      </c>
      <c r="K9" s="27">
        <v>0.87949999999999995</v>
      </c>
      <c r="L9" s="28">
        <v>0.82950000000000002</v>
      </c>
      <c r="M9" s="49"/>
      <c r="N9" s="50"/>
      <c r="O9" s="51"/>
      <c r="Q9" s="22"/>
      <c r="R9" s="20" t="s">
        <v>33</v>
      </c>
      <c r="S9" s="21"/>
      <c r="T9" s="21"/>
      <c r="U9" s="22">
        <v>1500</v>
      </c>
      <c r="V9" s="22">
        <v>-3</v>
      </c>
      <c r="W9" s="22" t="b">
        <v>0</v>
      </c>
      <c r="X9" s="17">
        <v>0.79200000000000004</v>
      </c>
      <c r="Y9" s="17">
        <v>0.7883</v>
      </c>
      <c r="Z9" s="58">
        <v>0.83330000000000004</v>
      </c>
      <c r="AA9" s="61">
        <v>0.91669999999999996</v>
      </c>
      <c r="AB9" s="70"/>
      <c r="AC9" s="70"/>
      <c r="AD9" s="70"/>
    </row>
    <row r="10" spans="2:30" ht="15.75" customHeight="1" x14ac:dyDescent="0.2">
      <c r="B10" s="30"/>
      <c r="C10" s="20"/>
      <c r="D10" s="21"/>
      <c r="E10" s="21"/>
      <c r="F10" s="22"/>
      <c r="G10" s="22"/>
      <c r="H10" s="22"/>
      <c r="I10" s="27"/>
      <c r="J10" s="27"/>
      <c r="K10" s="27"/>
      <c r="L10" s="28"/>
      <c r="M10" s="49"/>
      <c r="N10" s="50"/>
      <c r="O10" s="51"/>
      <c r="Q10" s="22"/>
      <c r="R10" s="20"/>
      <c r="S10" s="21"/>
      <c r="T10" s="21"/>
      <c r="U10" s="22"/>
      <c r="V10" s="22"/>
      <c r="W10" s="22"/>
      <c r="X10" s="18"/>
      <c r="Y10" s="18"/>
      <c r="Z10" s="59"/>
      <c r="AA10" s="62"/>
      <c r="AB10" s="70"/>
      <c r="AC10" s="70"/>
      <c r="AD10" s="70"/>
    </row>
    <row r="11" spans="2:30" ht="15.75" customHeight="1" x14ac:dyDescent="0.2">
      <c r="B11" s="30"/>
      <c r="C11" s="20"/>
      <c r="D11" s="21"/>
      <c r="E11" s="21"/>
      <c r="F11" s="22"/>
      <c r="G11" s="22"/>
      <c r="H11" s="22"/>
      <c r="I11" s="27"/>
      <c r="J11" s="27"/>
      <c r="K11" s="27"/>
      <c r="L11" s="28"/>
      <c r="M11" s="49"/>
      <c r="N11" s="50"/>
      <c r="O11" s="51"/>
      <c r="Q11" s="22"/>
      <c r="R11" s="20"/>
      <c r="S11" s="21"/>
      <c r="T11" s="21"/>
      <c r="U11" s="22"/>
      <c r="V11" s="22"/>
      <c r="W11" s="22"/>
      <c r="X11" s="19"/>
      <c r="Y11" s="19"/>
      <c r="Z11" s="60"/>
      <c r="AA11" s="63"/>
      <c r="AB11" s="70"/>
      <c r="AC11" s="70"/>
      <c r="AD11" s="70"/>
    </row>
    <row r="12" spans="2:30" ht="15" customHeight="1" x14ac:dyDescent="0.2">
      <c r="B12" s="30"/>
      <c r="C12" s="20" t="s">
        <v>9</v>
      </c>
      <c r="D12" s="21"/>
      <c r="E12" s="21"/>
      <c r="F12" s="22">
        <v>500</v>
      </c>
      <c r="G12" s="22">
        <v>0</v>
      </c>
      <c r="H12" s="22" t="b">
        <v>0</v>
      </c>
      <c r="I12" s="17">
        <v>0.63560000000000005</v>
      </c>
      <c r="J12" s="17">
        <v>0.62360000000000004</v>
      </c>
      <c r="K12" s="17">
        <v>0.74050000000000005</v>
      </c>
      <c r="L12" s="23">
        <v>0.69440000000000002</v>
      </c>
      <c r="M12" s="49"/>
      <c r="N12" s="50"/>
      <c r="O12" s="51"/>
      <c r="Q12" s="22"/>
      <c r="R12" s="20" t="s">
        <v>33</v>
      </c>
      <c r="S12" s="21"/>
      <c r="T12" s="21"/>
      <c r="U12" s="22">
        <v>1500</v>
      </c>
      <c r="V12" s="22">
        <v>-3</v>
      </c>
      <c r="W12" s="22" t="b">
        <v>0</v>
      </c>
      <c r="X12" s="17">
        <v>0.78539999999999999</v>
      </c>
      <c r="Y12" s="17">
        <v>0.78110000000000002</v>
      </c>
      <c r="Z12" s="58">
        <v>0.83330000000000004</v>
      </c>
      <c r="AA12" s="61">
        <v>0.91669999999999996</v>
      </c>
      <c r="AB12" s="70"/>
      <c r="AC12" s="70"/>
      <c r="AD12" s="70"/>
    </row>
    <row r="13" spans="2:30" ht="15" customHeight="1" x14ac:dyDescent="0.2">
      <c r="B13" s="30"/>
      <c r="C13" s="20"/>
      <c r="D13" s="21"/>
      <c r="E13" s="21"/>
      <c r="F13" s="22"/>
      <c r="G13" s="22"/>
      <c r="H13" s="22"/>
      <c r="I13" s="18"/>
      <c r="J13" s="18"/>
      <c r="K13" s="18"/>
      <c r="L13" s="24"/>
      <c r="M13" s="49"/>
      <c r="N13" s="50"/>
      <c r="O13" s="51"/>
      <c r="Q13" s="22"/>
      <c r="R13" s="20"/>
      <c r="S13" s="21"/>
      <c r="T13" s="21"/>
      <c r="U13" s="22"/>
      <c r="V13" s="22"/>
      <c r="W13" s="22"/>
      <c r="X13" s="18"/>
      <c r="Y13" s="18"/>
      <c r="Z13" s="59"/>
      <c r="AA13" s="62"/>
      <c r="AB13" s="70"/>
      <c r="AC13" s="70"/>
      <c r="AD13" s="70"/>
    </row>
    <row r="14" spans="2:30" ht="15.75" customHeight="1" x14ac:dyDescent="0.2">
      <c r="B14" s="30"/>
      <c r="C14" s="20"/>
      <c r="D14" s="21"/>
      <c r="E14" s="21"/>
      <c r="F14" s="22"/>
      <c r="G14" s="22"/>
      <c r="H14" s="22"/>
      <c r="I14" s="19"/>
      <c r="J14" s="19"/>
      <c r="K14" s="19"/>
      <c r="L14" s="25"/>
      <c r="M14" s="49"/>
      <c r="N14" s="50"/>
      <c r="O14" s="51"/>
      <c r="Q14" s="22"/>
      <c r="R14" s="20"/>
      <c r="S14" s="21"/>
      <c r="T14" s="21"/>
      <c r="U14" s="22"/>
      <c r="V14" s="22"/>
      <c r="W14" s="22"/>
      <c r="X14" s="19"/>
      <c r="Y14" s="19"/>
      <c r="Z14" s="60"/>
      <c r="AA14" s="63"/>
      <c r="AB14" s="70"/>
      <c r="AC14" s="70"/>
      <c r="AD14" s="70"/>
    </row>
    <row r="15" spans="2:30" ht="15" customHeight="1" x14ac:dyDescent="0.2">
      <c r="B15" s="30"/>
      <c r="C15" s="20" t="s">
        <v>10</v>
      </c>
      <c r="D15" s="21"/>
      <c r="E15" s="21"/>
      <c r="F15" s="22">
        <v>1000</v>
      </c>
      <c r="G15" s="22">
        <v>0</v>
      </c>
      <c r="H15" s="22" t="b">
        <v>0</v>
      </c>
      <c r="I15" s="17">
        <v>0.6804</v>
      </c>
      <c r="J15" s="17">
        <v>0.66469999999999996</v>
      </c>
      <c r="K15" s="17">
        <v>0.79800000000000004</v>
      </c>
      <c r="L15" s="23">
        <v>0.75949999999999995</v>
      </c>
      <c r="M15" s="49"/>
      <c r="N15" s="50"/>
      <c r="O15" s="51"/>
      <c r="Q15" s="22"/>
      <c r="R15" s="20" t="s">
        <v>33</v>
      </c>
      <c r="S15" s="21"/>
      <c r="T15" s="21"/>
      <c r="U15" s="22">
        <v>1500</v>
      </c>
      <c r="V15" s="22">
        <v>-3</v>
      </c>
      <c r="W15" s="22" t="b">
        <v>0</v>
      </c>
      <c r="X15" s="17">
        <v>0.78259999999999996</v>
      </c>
      <c r="Y15" s="17">
        <v>0.77549999999999997</v>
      </c>
      <c r="Z15" s="58">
        <v>0.83330000000000004</v>
      </c>
      <c r="AA15" s="61">
        <v>0.91669999999999996</v>
      </c>
      <c r="AB15" s="70"/>
      <c r="AC15" s="70"/>
      <c r="AD15" s="70"/>
    </row>
    <row r="16" spans="2:30" ht="15" customHeight="1" x14ac:dyDescent="0.2">
      <c r="B16" s="30"/>
      <c r="C16" s="20"/>
      <c r="D16" s="21"/>
      <c r="E16" s="21"/>
      <c r="F16" s="22"/>
      <c r="G16" s="22"/>
      <c r="H16" s="22"/>
      <c r="I16" s="18"/>
      <c r="J16" s="18"/>
      <c r="K16" s="18"/>
      <c r="L16" s="24"/>
      <c r="M16" s="49"/>
      <c r="N16" s="50"/>
      <c r="O16" s="51"/>
      <c r="Q16" s="22"/>
      <c r="R16" s="20"/>
      <c r="S16" s="21"/>
      <c r="T16" s="21"/>
      <c r="U16" s="22"/>
      <c r="V16" s="22"/>
      <c r="W16" s="22"/>
      <c r="X16" s="18"/>
      <c r="Y16" s="18"/>
      <c r="Z16" s="59"/>
      <c r="AA16" s="62"/>
      <c r="AB16" s="70"/>
      <c r="AC16" s="70"/>
      <c r="AD16" s="70"/>
    </row>
    <row r="17" spans="2:30" ht="15" customHeight="1" x14ac:dyDescent="0.2">
      <c r="B17" s="30"/>
      <c r="C17" s="20"/>
      <c r="D17" s="21"/>
      <c r="E17" s="21"/>
      <c r="F17" s="22"/>
      <c r="G17" s="22"/>
      <c r="H17" s="22"/>
      <c r="I17" s="19"/>
      <c r="J17" s="19"/>
      <c r="K17" s="19"/>
      <c r="L17" s="25"/>
      <c r="M17" s="49"/>
      <c r="N17" s="50"/>
      <c r="O17" s="51"/>
      <c r="Q17" s="22"/>
      <c r="R17" s="20"/>
      <c r="S17" s="21"/>
      <c r="T17" s="21"/>
      <c r="U17" s="22"/>
      <c r="V17" s="22"/>
      <c r="W17" s="22"/>
      <c r="X17" s="19"/>
      <c r="Y17" s="19"/>
      <c r="Z17" s="60"/>
      <c r="AA17" s="63"/>
      <c r="AB17" s="70"/>
      <c r="AC17" s="70"/>
      <c r="AD17" s="70"/>
    </row>
    <row r="18" spans="2:30" ht="15" customHeight="1" x14ac:dyDescent="0.2">
      <c r="B18" s="30"/>
      <c r="C18" s="20" t="s">
        <v>13</v>
      </c>
      <c r="D18" s="21"/>
      <c r="E18" s="21"/>
      <c r="F18" s="22">
        <v>500</v>
      </c>
      <c r="G18" s="22">
        <v>0</v>
      </c>
      <c r="H18" s="22" t="b">
        <v>0</v>
      </c>
      <c r="I18" s="17">
        <v>0.59719999999999995</v>
      </c>
      <c r="J18" s="17">
        <v>0.5968</v>
      </c>
      <c r="K18" s="17">
        <v>0.75139999999999996</v>
      </c>
      <c r="L18" s="23">
        <v>0.68569999999999998</v>
      </c>
      <c r="M18" s="49"/>
      <c r="N18" s="50"/>
      <c r="O18" s="51"/>
      <c r="Q18" s="22"/>
      <c r="R18" s="56" t="s">
        <v>23</v>
      </c>
      <c r="S18" s="22"/>
      <c r="T18" s="22"/>
      <c r="U18" s="22"/>
      <c r="V18" s="22"/>
      <c r="W18" s="22"/>
      <c r="X18" s="27">
        <f>AVERAGE(X6:X17)</f>
        <v>0.78887499999999999</v>
      </c>
      <c r="Y18" s="27">
        <f>AVERAGE(Y6:Y17)</f>
        <v>0.78370000000000006</v>
      </c>
      <c r="Z18" s="27">
        <f>AVERAGE(Z6:Z17)</f>
        <v>0.83330000000000004</v>
      </c>
      <c r="AA18" s="28">
        <f>AVERAGE(AA6:AA17)</f>
        <v>0.91669999999999996</v>
      </c>
      <c r="AB18" s="70"/>
      <c r="AC18" s="70"/>
      <c r="AD18" s="70"/>
    </row>
    <row r="19" spans="2:30" ht="15" customHeight="1" x14ac:dyDescent="0.2">
      <c r="B19" s="30"/>
      <c r="C19" s="20"/>
      <c r="D19" s="21"/>
      <c r="E19" s="21"/>
      <c r="F19" s="22"/>
      <c r="G19" s="22"/>
      <c r="H19" s="22"/>
      <c r="I19" s="18"/>
      <c r="J19" s="18"/>
      <c r="K19" s="18"/>
      <c r="L19" s="24"/>
      <c r="M19" s="49"/>
      <c r="N19" s="50"/>
      <c r="O19" s="51"/>
      <c r="Q19" s="22"/>
      <c r="R19" s="56"/>
      <c r="S19" s="22"/>
      <c r="T19" s="22"/>
      <c r="U19" s="22"/>
      <c r="V19" s="22"/>
      <c r="W19" s="22"/>
      <c r="X19" s="27"/>
      <c r="Y19" s="27"/>
      <c r="Z19" s="27"/>
      <c r="AA19" s="28"/>
      <c r="AB19" s="70"/>
      <c r="AC19" s="70"/>
      <c r="AD19" s="70"/>
    </row>
    <row r="20" spans="2:30" ht="15" customHeight="1" x14ac:dyDescent="0.2">
      <c r="B20" s="30"/>
      <c r="C20" s="20"/>
      <c r="D20" s="21"/>
      <c r="E20" s="21"/>
      <c r="F20" s="22"/>
      <c r="G20" s="22"/>
      <c r="H20" s="22"/>
      <c r="I20" s="19"/>
      <c r="J20" s="19"/>
      <c r="K20" s="19"/>
      <c r="L20" s="25"/>
      <c r="M20" s="49"/>
      <c r="N20" s="50"/>
      <c r="O20" s="51"/>
      <c r="Q20" s="22"/>
      <c r="R20" s="20" t="s">
        <v>35</v>
      </c>
      <c r="S20" s="21"/>
      <c r="T20" s="21"/>
      <c r="U20" s="22">
        <v>1500</v>
      </c>
      <c r="V20" s="22">
        <v>-3</v>
      </c>
      <c r="W20" s="22" t="b">
        <v>0</v>
      </c>
      <c r="X20" s="17">
        <v>0.77480000000000004</v>
      </c>
      <c r="Y20" s="17">
        <v>0.78480000000000005</v>
      </c>
      <c r="Z20" s="58">
        <v>0.83330000000000004</v>
      </c>
      <c r="AA20" s="61">
        <v>0.91669999999999996</v>
      </c>
      <c r="AB20" s="70"/>
      <c r="AC20" s="70"/>
      <c r="AD20" s="70"/>
    </row>
    <row r="21" spans="2:30" ht="15" customHeight="1" x14ac:dyDescent="0.2">
      <c r="B21" s="30"/>
      <c r="C21" s="20" t="s">
        <v>11</v>
      </c>
      <c r="D21" s="21"/>
      <c r="E21" s="21"/>
      <c r="F21" s="22">
        <v>500</v>
      </c>
      <c r="G21" s="22">
        <v>0</v>
      </c>
      <c r="H21" s="22" t="b">
        <v>0</v>
      </c>
      <c r="I21" s="29">
        <v>0.7238</v>
      </c>
      <c r="J21" s="29">
        <v>0.71609999999999996</v>
      </c>
      <c r="K21" s="29">
        <v>0.87949999999999995</v>
      </c>
      <c r="L21" s="33">
        <v>0.82789999999999997</v>
      </c>
      <c r="M21" s="49"/>
      <c r="N21" s="50"/>
      <c r="O21" s="51"/>
      <c r="Q21" s="22"/>
      <c r="R21" s="20"/>
      <c r="S21" s="21"/>
      <c r="T21" s="21"/>
      <c r="U21" s="22"/>
      <c r="V21" s="22"/>
      <c r="W21" s="22"/>
      <c r="X21" s="18"/>
      <c r="Y21" s="18"/>
      <c r="Z21" s="59"/>
      <c r="AA21" s="62"/>
      <c r="AB21" s="70"/>
      <c r="AC21" s="70"/>
      <c r="AD21" s="70"/>
    </row>
    <row r="22" spans="2:30" ht="15" customHeight="1" x14ac:dyDescent="0.2">
      <c r="B22" s="30"/>
      <c r="C22" s="20"/>
      <c r="D22" s="21"/>
      <c r="E22" s="21"/>
      <c r="F22" s="22"/>
      <c r="G22" s="22"/>
      <c r="H22" s="22"/>
      <c r="I22" s="30"/>
      <c r="J22" s="30"/>
      <c r="K22" s="30"/>
      <c r="L22" s="34"/>
      <c r="M22" s="49"/>
      <c r="N22" s="50"/>
      <c r="O22" s="51"/>
      <c r="Q22" s="22"/>
      <c r="R22" s="20"/>
      <c r="S22" s="21"/>
      <c r="T22" s="21"/>
      <c r="U22" s="22"/>
      <c r="V22" s="22"/>
      <c r="W22" s="22"/>
      <c r="X22" s="19"/>
      <c r="Y22" s="19"/>
      <c r="Z22" s="60"/>
      <c r="AA22" s="63"/>
      <c r="AB22" s="70"/>
      <c r="AC22" s="70"/>
      <c r="AD22" s="70"/>
    </row>
    <row r="23" spans="2:30" ht="15" customHeight="1" x14ac:dyDescent="0.2">
      <c r="B23" s="30"/>
      <c r="C23" s="20"/>
      <c r="D23" s="21"/>
      <c r="E23" s="21"/>
      <c r="F23" s="22"/>
      <c r="G23" s="22"/>
      <c r="H23" s="22"/>
      <c r="I23" s="31"/>
      <c r="J23" s="31"/>
      <c r="K23" s="31"/>
      <c r="L23" s="35"/>
      <c r="M23" s="49"/>
      <c r="N23" s="50"/>
      <c r="O23" s="51"/>
      <c r="Q23" s="22"/>
      <c r="R23" s="20" t="s">
        <v>36</v>
      </c>
      <c r="S23" s="21"/>
      <c r="T23" s="21"/>
      <c r="U23" s="22">
        <v>1500</v>
      </c>
      <c r="V23" s="22">
        <v>-3</v>
      </c>
      <c r="W23" s="22" t="b">
        <v>0</v>
      </c>
      <c r="X23" s="17">
        <v>0.73340000000000005</v>
      </c>
      <c r="Y23" s="17">
        <v>0.7379</v>
      </c>
      <c r="Z23" s="58">
        <v>0.83330000000000004</v>
      </c>
      <c r="AA23" s="61">
        <v>0.91669999999999996</v>
      </c>
      <c r="AB23" s="70"/>
      <c r="AC23" s="70"/>
      <c r="AD23" s="70"/>
    </row>
    <row r="24" spans="2:30" ht="15" customHeight="1" x14ac:dyDescent="0.2">
      <c r="B24" s="30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49"/>
      <c r="N24" s="50"/>
      <c r="O24" s="51"/>
      <c r="Q24" s="22"/>
      <c r="R24" s="20"/>
      <c r="S24" s="21"/>
      <c r="T24" s="21"/>
      <c r="U24" s="22"/>
      <c r="V24" s="22"/>
      <c r="W24" s="22"/>
      <c r="X24" s="18"/>
      <c r="Y24" s="18"/>
      <c r="Z24" s="59"/>
      <c r="AA24" s="62"/>
      <c r="AB24" s="70"/>
      <c r="AC24" s="70"/>
      <c r="AD24" s="70"/>
    </row>
    <row r="25" spans="2:30" ht="15" customHeight="1" x14ac:dyDescent="0.2">
      <c r="B25" s="30"/>
      <c r="C25" s="20" t="s">
        <v>32</v>
      </c>
      <c r="D25" s="21"/>
      <c r="E25" s="21"/>
      <c r="F25" s="22">
        <v>500</v>
      </c>
      <c r="G25" s="22">
        <v>-3</v>
      </c>
      <c r="H25" s="22" t="b">
        <v>0</v>
      </c>
      <c r="I25" s="26">
        <v>0.83120000000000005</v>
      </c>
      <c r="J25" s="26">
        <v>0.82110000000000005</v>
      </c>
      <c r="K25" s="27">
        <v>0.9355</v>
      </c>
      <c r="L25" s="28">
        <v>0.9355</v>
      </c>
      <c r="M25" s="49"/>
      <c r="N25" s="50"/>
      <c r="O25" s="51"/>
      <c r="Q25" s="22"/>
      <c r="R25" s="20"/>
      <c r="S25" s="21"/>
      <c r="T25" s="21"/>
      <c r="U25" s="22"/>
      <c r="V25" s="22"/>
      <c r="W25" s="22"/>
      <c r="X25" s="19"/>
      <c r="Y25" s="19"/>
      <c r="Z25" s="60"/>
      <c r="AA25" s="63"/>
      <c r="AB25" s="70"/>
      <c r="AC25" s="70"/>
      <c r="AD25" s="70"/>
    </row>
    <row r="26" spans="2:30" ht="15" customHeight="1" x14ac:dyDescent="0.2">
      <c r="B26" s="30"/>
      <c r="C26" s="20"/>
      <c r="D26" s="21"/>
      <c r="E26" s="21"/>
      <c r="F26" s="22"/>
      <c r="G26" s="22"/>
      <c r="H26" s="22"/>
      <c r="I26" s="26"/>
      <c r="J26" s="26"/>
      <c r="K26" s="27"/>
      <c r="L26" s="28"/>
      <c r="M26" s="49"/>
      <c r="N26" s="50"/>
      <c r="O26" s="51"/>
      <c r="Q26" s="22"/>
      <c r="R26" s="20" t="s">
        <v>38</v>
      </c>
      <c r="S26" s="21"/>
      <c r="T26" s="21"/>
      <c r="U26" s="22">
        <v>1500</v>
      </c>
      <c r="V26" s="22">
        <v>-3</v>
      </c>
      <c r="W26" s="22" t="b">
        <v>0</v>
      </c>
      <c r="X26" s="17">
        <v>0.54930000000000001</v>
      </c>
      <c r="Y26" s="17">
        <v>0.56200000000000006</v>
      </c>
      <c r="Z26" s="58">
        <v>0.66669999999999996</v>
      </c>
      <c r="AA26" s="61">
        <v>0.58330000000000004</v>
      </c>
      <c r="AB26" s="70"/>
      <c r="AC26" s="70"/>
      <c r="AD26" s="70"/>
    </row>
    <row r="27" spans="2:30" ht="15" customHeight="1" x14ac:dyDescent="0.2">
      <c r="B27" s="30"/>
      <c r="C27" s="20"/>
      <c r="D27" s="21"/>
      <c r="E27" s="21"/>
      <c r="F27" s="22"/>
      <c r="G27" s="22"/>
      <c r="H27" s="22"/>
      <c r="I27" s="26"/>
      <c r="J27" s="26"/>
      <c r="K27" s="27"/>
      <c r="L27" s="28"/>
      <c r="M27" s="49"/>
      <c r="N27" s="50"/>
      <c r="O27" s="51"/>
      <c r="Q27" s="22"/>
      <c r="R27" s="20"/>
      <c r="S27" s="21"/>
      <c r="T27" s="21"/>
      <c r="U27" s="22"/>
      <c r="V27" s="22"/>
      <c r="W27" s="22"/>
      <c r="X27" s="18"/>
      <c r="Y27" s="18"/>
      <c r="Z27" s="59"/>
      <c r="AA27" s="62"/>
      <c r="AB27" s="70"/>
      <c r="AC27" s="70"/>
      <c r="AD27" s="70"/>
    </row>
    <row r="28" spans="2:30" ht="15" customHeight="1" x14ac:dyDescent="0.2">
      <c r="B28" s="30"/>
      <c r="C28" s="20" t="s">
        <v>10</v>
      </c>
      <c r="D28" s="21"/>
      <c r="E28" s="21"/>
      <c r="F28" s="22">
        <v>500</v>
      </c>
      <c r="G28" s="22">
        <v>-3</v>
      </c>
      <c r="H28" s="22" t="b">
        <v>0</v>
      </c>
      <c r="I28" s="17">
        <v>0.73399999999999999</v>
      </c>
      <c r="J28" s="17">
        <v>0.7177</v>
      </c>
      <c r="K28" s="17">
        <v>0.9032</v>
      </c>
      <c r="L28" s="23">
        <v>0.7903</v>
      </c>
      <c r="M28" s="49"/>
      <c r="N28" s="50"/>
      <c r="O28" s="51"/>
      <c r="Q28" s="22"/>
      <c r="R28" s="20"/>
      <c r="S28" s="21"/>
      <c r="T28" s="21"/>
      <c r="U28" s="22"/>
      <c r="V28" s="22"/>
      <c r="W28" s="22"/>
      <c r="X28" s="19"/>
      <c r="Y28" s="19"/>
      <c r="Z28" s="60"/>
      <c r="AA28" s="63"/>
      <c r="AB28" s="70"/>
      <c r="AC28" s="70"/>
      <c r="AD28" s="70"/>
    </row>
    <row r="29" spans="2:30" ht="15" customHeight="1" x14ac:dyDescent="0.2">
      <c r="B29" s="30"/>
      <c r="C29" s="20"/>
      <c r="D29" s="21"/>
      <c r="E29" s="21"/>
      <c r="F29" s="22"/>
      <c r="G29" s="22"/>
      <c r="H29" s="22"/>
      <c r="I29" s="18"/>
      <c r="J29" s="18"/>
      <c r="K29" s="18"/>
      <c r="L29" s="24"/>
      <c r="M29" s="49"/>
      <c r="N29" s="50"/>
      <c r="O29" s="51"/>
      <c r="Q29" s="22"/>
      <c r="R29" s="20" t="s">
        <v>39</v>
      </c>
      <c r="S29" s="21"/>
      <c r="T29" s="21"/>
      <c r="U29" s="22">
        <v>1500</v>
      </c>
      <c r="V29" s="22">
        <v>-3</v>
      </c>
      <c r="W29" s="22" t="b">
        <v>0</v>
      </c>
      <c r="X29" s="17">
        <v>0.76400000000000001</v>
      </c>
      <c r="Y29" s="17">
        <v>0.76600000000000001</v>
      </c>
      <c r="Z29" s="58">
        <v>1</v>
      </c>
      <c r="AA29" s="61">
        <v>0.83330000000000004</v>
      </c>
      <c r="AB29" s="70"/>
      <c r="AC29" s="70"/>
      <c r="AD29" s="70"/>
    </row>
    <row r="30" spans="2:30" ht="15" customHeight="1" x14ac:dyDescent="0.2">
      <c r="B30" s="30"/>
      <c r="C30" s="20"/>
      <c r="D30" s="21"/>
      <c r="E30" s="21"/>
      <c r="F30" s="22"/>
      <c r="G30" s="22"/>
      <c r="H30" s="22"/>
      <c r="I30" s="19"/>
      <c r="J30" s="19"/>
      <c r="K30" s="19"/>
      <c r="L30" s="25"/>
      <c r="M30" s="49"/>
      <c r="N30" s="50"/>
      <c r="O30" s="51"/>
      <c r="Q30" s="22"/>
      <c r="R30" s="20"/>
      <c r="S30" s="21"/>
      <c r="T30" s="21"/>
      <c r="U30" s="22"/>
      <c r="V30" s="22"/>
      <c r="W30" s="22"/>
      <c r="X30" s="18"/>
      <c r="Y30" s="18"/>
      <c r="Z30" s="59"/>
      <c r="AA30" s="62"/>
      <c r="AB30" s="70"/>
      <c r="AC30" s="70"/>
      <c r="AD30" s="70"/>
    </row>
    <row r="31" spans="2:30" ht="15" customHeight="1" x14ac:dyDescent="0.2">
      <c r="B31" s="30"/>
      <c r="C31" s="20" t="s">
        <v>9</v>
      </c>
      <c r="D31" s="21"/>
      <c r="E31" s="21"/>
      <c r="F31" s="22">
        <v>1000</v>
      </c>
      <c r="G31" s="22">
        <v>-3</v>
      </c>
      <c r="H31" s="22" t="b">
        <v>0</v>
      </c>
      <c r="I31" s="17">
        <v>0.71360000000000001</v>
      </c>
      <c r="J31" s="17">
        <v>0.73160000000000003</v>
      </c>
      <c r="K31" s="17">
        <v>0.9355</v>
      </c>
      <c r="L31" s="23">
        <v>0.871</v>
      </c>
      <c r="M31" s="49"/>
      <c r="N31" s="50"/>
      <c r="O31" s="51"/>
      <c r="Q31" s="22"/>
      <c r="R31" s="20"/>
      <c r="S31" s="21"/>
      <c r="T31" s="21"/>
      <c r="U31" s="22"/>
      <c r="V31" s="22"/>
      <c r="W31" s="22"/>
      <c r="X31" s="19"/>
      <c r="Y31" s="19"/>
      <c r="Z31" s="60"/>
      <c r="AA31" s="63"/>
      <c r="AB31" s="70"/>
      <c r="AC31" s="70"/>
      <c r="AD31" s="70"/>
    </row>
    <row r="32" spans="2:30" ht="15" customHeight="1" x14ac:dyDescent="0.2">
      <c r="B32" s="30"/>
      <c r="C32" s="20"/>
      <c r="D32" s="21"/>
      <c r="E32" s="21"/>
      <c r="F32" s="22"/>
      <c r="G32" s="22"/>
      <c r="H32" s="22"/>
      <c r="I32" s="18"/>
      <c r="J32" s="18"/>
      <c r="K32" s="18"/>
      <c r="L32" s="24"/>
      <c r="M32" s="49"/>
      <c r="N32" s="50"/>
      <c r="O32" s="51"/>
    </row>
    <row r="33" spans="2:15" ht="15" customHeight="1" x14ac:dyDescent="0.2">
      <c r="B33" s="30"/>
      <c r="C33" s="20"/>
      <c r="D33" s="21"/>
      <c r="E33" s="21"/>
      <c r="F33" s="22"/>
      <c r="G33" s="22"/>
      <c r="H33" s="22"/>
      <c r="I33" s="19"/>
      <c r="J33" s="19"/>
      <c r="K33" s="19"/>
      <c r="L33" s="25"/>
      <c r="M33" s="49"/>
      <c r="N33" s="50"/>
      <c r="O33" s="51"/>
    </row>
    <row r="34" spans="2:15" ht="15" customHeight="1" x14ac:dyDescent="0.2">
      <c r="B34" s="30"/>
      <c r="C34" s="20" t="s">
        <v>13</v>
      </c>
      <c r="D34" s="21"/>
      <c r="E34" s="21"/>
      <c r="F34" s="22">
        <v>500</v>
      </c>
      <c r="G34" s="22">
        <v>-3</v>
      </c>
      <c r="H34" s="22" t="b">
        <v>0</v>
      </c>
      <c r="I34" s="17">
        <v>0.66200000000000003</v>
      </c>
      <c r="J34" s="17">
        <v>0.63660000000000005</v>
      </c>
      <c r="K34" s="17">
        <v>0.7419</v>
      </c>
      <c r="L34" s="23">
        <v>0.6613</v>
      </c>
      <c r="M34" s="49"/>
      <c r="N34" s="50"/>
      <c r="O34" s="51"/>
    </row>
    <row r="35" spans="2:15" ht="15" customHeight="1" x14ac:dyDescent="0.2">
      <c r="B35" s="30"/>
      <c r="C35" s="20"/>
      <c r="D35" s="21"/>
      <c r="E35" s="21"/>
      <c r="F35" s="22"/>
      <c r="G35" s="22"/>
      <c r="H35" s="22"/>
      <c r="I35" s="18"/>
      <c r="J35" s="18"/>
      <c r="K35" s="18"/>
      <c r="L35" s="24"/>
      <c r="M35" s="49"/>
      <c r="N35" s="50"/>
      <c r="O35" s="51"/>
    </row>
    <row r="36" spans="2:15" ht="15" customHeight="1" x14ac:dyDescent="0.2">
      <c r="B36" s="30"/>
      <c r="C36" s="20"/>
      <c r="D36" s="21"/>
      <c r="E36" s="21"/>
      <c r="F36" s="22"/>
      <c r="G36" s="22"/>
      <c r="H36" s="22"/>
      <c r="I36" s="19"/>
      <c r="J36" s="19"/>
      <c r="K36" s="19"/>
      <c r="L36" s="25"/>
      <c r="M36" s="49"/>
      <c r="N36" s="50"/>
      <c r="O36" s="51"/>
    </row>
    <row r="37" spans="2:15" ht="15" customHeight="1" x14ac:dyDescent="0.2">
      <c r="B37" s="30"/>
      <c r="C37" s="20" t="s">
        <v>12</v>
      </c>
      <c r="D37" s="21"/>
      <c r="E37" s="21"/>
      <c r="F37" s="22">
        <v>500</v>
      </c>
      <c r="G37" s="22">
        <v>-3</v>
      </c>
      <c r="H37" s="22" t="b">
        <v>0</v>
      </c>
      <c r="I37" s="17">
        <v>0.69450000000000001</v>
      </c>
      <c r="J37" s="17">
        <v>0.67479999999999996</v>
      </c>
      <c r="K37" s="17">
        <v>0.7419</v>
      </c>
      <c r="L37" s="23">
        <v>0.7419</v>
      </c>
      <c r="M37" s="49"/>
      <c r="N37" s="50"/>
      <c r="O37" s="51"/>
    </row>
    <row r="38" spans="2:15" ht="15" customHeight="1" x14ac:dyDescent="0.2">
      <c r="B38" s="30"/>
      <c r="C38" s="20"/>
      <c r="D38" s="21"/>
      <c r="E38" s="21"/>
      <c r="F38" s="22"/>
      <c r="G38" s="22"/>
      <c r="H38" s="22"/>
      <c r="I38" s="18"/>
      <c r="J38" s="18"/>
      <c r="K38" s="18"/>
      <c r="L38" s="24"/>
      <c r="M38" s="49"/>
      <c r="N38" s="50"/>
      <c r="O38" s="51"/>
    </row>
    <row r="39" spans="2:15" ht="15" customHeight="1" x14ac:dyDescent="0.2">
      <c r="B39" s="30"/>
      <c r="C39" s="20"/>
      <c r="D39" s="21"/>
      <c r="E39" s="21"/>
      <c r="F39" s="22"/>
      <c r="G39" s="22"/>
      <c r="H39" s="22"/>
      <c r="I39" s="19"/>
      <c r="J39" s="19"/>
      <c r="K39" s="19"/>
      <c r="L39" s="25"/>
      <c r="M39" s="49"/>
      <c r="N39" s="50"/>
      <c r="O39" s="51"/>
    </row>
    <row r="40" spans="2:15" ht="15" customHeight="1" x14ac:dyDescent="0.2">
      <c r="B40" s="30"/>
      <c r="C40" s="20" t="s">
        <v>11</v>
      </c>
      <c r="D40" s="21"/>
      <c r="E40" s="21"/>
      <c r="F40" s="22">
        <v>500</v>
      </c>
      <c r="G40" s="22">
        <v>-3</v>
      </c>
      <c r="H40" s="22" t="b">
        <v>0</v>
      </c>
      <c r="I40" s="17">
        <v>0.84409999999999996</v>
      </c>
      <c r="J40" s="17">
        <v>0.82589999999999997</v>
      </c>
      <c r="K40" s="17">
        <v>0.9677</v>
      </c>
      <c r="L40" s="23">
        <v>0.9032</v>
      </c>
      <c r="M40" s="49"/>
      <c r="N40" s="50"/>
      <c r="O40" s="51"/>
    </row>
    <row r="41" spans="2:15" ht="15" customHeight="1" x14ac:dyDescent="0.2">
      <c r="B41" s="30"/>
      <c r="C41" s="20"/>
      <c r="D41" s="21"/>
      <c r="E41" s="21"/>
      <c r="F41" s="22"/>
      <c r="G41" s="22"/>
      <c r="H41" s="22"/>
      <c r="I41" s="18"/>
      <c r="J41" s="18"/>
      <c r="K41" s="18"/>
      <c r="L41" s="24"/>
      <c r="M41" s="49"/>
      <c r="N41" s="50"/>
      <c r="O41" s="51"/>
    </row>
    <row r="42" spans="2:15" ht="15" customHeight="1" x14ac:dyDescent="0.2">
      <c r="B42" s="30"/>
      <c r="C42" s="20"/>
      <c r="D42" s="21"/>
      <c r="E42" s="21"/>
      <c r="F42" s="22"/>
      <c r="G42" s="22"/>
      <c r="H42" s="22"/>
      <c r="I42" s="19"/>
      <c r="J42" s="19"/>
      <c r="K42" s="19"/>
      <c r="L42" s="25"/>
      <c r="M42" s="49"/>
      <c r="N42" s="50"/>
      <c r="O42" s="51"/>
    </row>
    <row r="43" spans="2:15" ht="15" customHeight="1" x14ac:dyDescent="0.2">
      <c r="B43" s="30"/>
      <c r="C43" s="20" t="s">
        <v>18</v>
      </c>
      <c r="D43" s="21"/>
      <c r="E43" s="21"/>
      <c r="F43" s="22">
        <v>500</v>
      </c>
      <c r="G43" s="22">
        <v>-3</v>
      </c>
      <c r="H43" s="22" t="b">
        <v>0</v>
      </c>
      <c r="I43" s="17">
        <v>0.84050000000000002</v>
      </c>
      <c r="J43" s="17">
        <v>0.82230000000000003</v>
      </c>
      <c r="K43" s="23">
        <v>0.9355</v>
      </c>
      <c r="L43" s="23">
        <v>0.9355</v>
      </c>
      <c r="M43" s="49"/>
      <c r="N43" s="50"/>
      <c r="O43" s="51"/>
    </row>
    <row r="44" spans="2:15" ht="15" customHeight="1" x14ac:dyDescent="0.2">
      <c r="B44" s="30"/>
      <c r="C44" s="20"/>
      <c r="D44" s="21"/>
      <c r="E44" s="21"/>
      <c r="F44" s="22"/>
      <c r="G44" s="22"/>
      <c r="H44" s="22"/>
      <c r="I44" s="18"/>
      <c r="J44" s="18"/>
      <c r="K44" s="24"/>
      <c r="L44" s="24"/>
      <c r="M44" s="49"/>
      <c r="N44" s="50"/>
      <c r="O44" s="51"/>
    </row>
    <row r="45" spans="2:15" ht="15" customHeight="1" x14ac:dyDescent="0.2">
      <c r="B45" s="30"/>
      <c r="C45" s="20"/>
      <c r="D45" s="21"/>
      <c r="E45" s="21"/>
      <c r="F45" s="22"/>
      <c r="G45" s="22"/>
      <c r="H45" s="22"/>
      <c r="I45" s="19"/>
      <c r="J45" s="19"/>
      <c r="K45" s="25"/>
      <c r="L45" s="25"/>
      <c r="M45" s="49"/>
      <c r="N45" s="50"/>
      <c r="O45" s="51"/>
    </row>
    <row r="46" spans="2:15" ht="15" customHeight="1" x14ac:dyDescent="0.2">
      <c r="B46" s="30"/>
      <c r="C46" s="20" t="s">
        <v>14</v>
      </c>
      <c r="D46" s="21"/>
      <c r="E46" s="21"/>
      <c r="F46" s="22">
        <v>500</v>
      </c>
      <c r="G46" s="22">
        <v>-3</v>
      </c>
      <c r="H46" s="22" t="b">
        <v>0</v>
      </c>
      <c r="I46" s="17">
        <v>0.8306</v>
      </c>
      <c r="J46" s="17">
        <v>0.82340000000000002</v>
      </c>
      <c r="K46" s="17">
        <v>0.9677</v>
      </c>
      <c r="L46" s="23">
        <v>0.9355</v>
      </c>
      <c r="M46" s="49"/>
      <c r="N46" s="50"/>
      <c r="O46" s="51"/>
    </row>
    <row r="47" spans="2:15" ht="15" customHeight="1" x14ac:dyDescent="0.2">
      <c r="B47" s="30"/>
      <c r="C47" s="20"/>
      <c r="D47" s="21"/>
      <c r="E47" s="21"/>
      <c r="F47" s="22"/>
      <c r="G47" s="22"/>
      <c r="H47" s="22"/>
      <c r="I47" s="18"/>
      <c r="J47" s="18"/>
      <c r="K47" s="18"/>
      <c r="L47" s="24"/>
      <c r="M47" s="49"/>
      <c r="N47" s="50"/>
      <c r="O47" s="51"/>
    </row>
    <row r="48" spans="2:15" ht="15" customHeight="1" x14ac:dyDescent="0.2">
      <c r="B48" s="31"/>
      <c r="C48" s="20"/>
      <c r="D48" s="21"/>
      <c r="E48" s="21"/>
      <c r="F48" s="22"/>
      <c r="G48" s="22"/>
      <c r="H48" s="22"/>
      <c r="I48" s="19"/>
      <c r="J48" s="19"/>
      <c r="K48" s="19"/>
      <c r="L48" s="25"/>
      <c r="M48" s="52"/>
      <c r="N48" s="53"/>
      <c r="O48" s="54"/>
    </row>
    <row r="49" spans="2:30" ht="15.75" customHeight="1" x14ac:dyDescent="0.2">
      <c r="B49" s="6"/>
      <c r="I49" s="5"/>
      <c r="J49" s="5"/>
      <c r="K49" s="5"/>
    </row>
    <row r="50" spans="2:30" ht="15" customHeight="1" x14ac:dyDescent="0.2">
      <c r="B50" s="6"/>
      <c r="I50" s="5"/>
      <c r="J50" s="5"/>
      <c r="K50" s="5"/>
    </row>
    <row r="51" spans="2:30" ht="15" customHeight="1" x14ac:dyDescent="0.2">
      <c r="B51" s="39" t="s">
        <v>31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Q51" s="64" t="s">
        <v>30</v>
      </c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6"/>
    </row>
    <row r="52" spans="2:30" ht="15" customHeight="1" x14ac:dyDescent="0.2"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Q52" s="67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9"/>
    </row>
    <row r="53" spans="2:30" ht="16" x14ac:dyDescent="0.2">
      <c r="B53" s="39" t="s">
        <v>1</v>
      </c>
      <c r="C53" s="36" t="s">
        <v>0</v>
      </c>
      <c r="D53" s="37"/>
      <c r="E53" s="37"/>
      <c r="F53" s="37"/>
      <c r="G53" s="37"/>
      <c r="H53" s="38"/>
      <c r="I53" s="39" t="s">
        <v>2</v>
      </c>
      <c r="J53" s="39"/>
      <c r="K53" s="39"/>
      <c r="L53" s="39"/>
      <c r="M53" s="39" t="s">
        <v>19</v>
      </c>
      <c r="N53" s="39"/>
      <c r="O53" s="39"/>
      <c r="Q53" s="39" t="s">
        <v>1</v>
      </c>
      <c r="R53" s="36" t="s">
        <v>0</v>
      </c>
      <c r="S53" s="37"/>
      <c r="T53" s="37"/>
      <c r="U53" s="37"/>
      <c r="V53" s="37"/>
      <c r="W53" s="38"/>
      <c r="X53" s="39" t="s">
        <v>2</v>
      </c>
      <c r="Y53" s="39"/>
      <c r="Z53" s="39"/>
      <c r="AA53" s="39"/>
      <c r="AB53" s="39" t="s">
        <v>19</v>
      </c>
      <c r="AC53" s="39"/>
      <c r="AD53" s="39"/>
    </row>
    <row r="54" spans="2:30" ht="16" x14ac:dyDescent="0.2">
      <c r="B54" s="39"/>
      <c r="C54" s="39" t="s">
        <v>4</v>
      </c>
      <c r="D54" s="39"/>
      <c r="E54" s="39"/>
      <c r="F54" s="3" t="s">
        <v>17</v>
      </c>
      <c r="G54" s="3" t="s">
        <v>16</v>
      </c>
      <c r="H54" s="4" t="s">
        <v>21</v>
      </c>
      <c r="I54" s="1" t="s">
        <v>5</v>
      </c>
      <c r="J54" s="1" t="s">
        <v>6</v>
      </c>
      <c r="K54" s="2" t="s">
        <v>7</v>
      </c>
      <c r="L54" s="2" t="s">
        <v>8</v>
      </c>
      <c r="M54" s="39"/>
      <c r="N54" s="39"/>
      <c r="O54" s="39"/>
      <c r="Q54" s="39"/>
      <c r="R54" s="39" t="s">
        <v>4</v>
      </c>
      <c r="S54" s="39"/>
      <c r="T54" s="39"/>
      <c r="U54" s="3" t="s">
        <v>17</v>
      </c>
      <c r="V54" s="3" t="s">
        <v>16</v>
      </c>
      <c r="W54" s="4" t="s">
        <v>21</v>
      </c>
      <c r="X54" s="1" t="s">
        <v>5</v>
      </c>
      <c r="Y54" s="1" t="s">
        <v>6</v>
      </c>
      <c r="Z54" s="2" t="s">
        <v>7</v>
      </c>
      <c r="AA54" s="2" t="s">
        <v>8</v>
      </c>
      <c r="AB54" s="39"/>
      <c r="AC54" s="39"/>
      <c r="AD54" s="39"/>
    </row>
    <row r="55" spans="2:30" ht="15" customHeight="1" x14ac:dyDescent="0.2">
      <c r="B55" s="29" t="s">
        <v>3</v>
      </c>
      <c r="C55" s="20" t="s">
        <v>24</v>
      </c>
      <c r="D55" s="21"/>
      <c r="E55" s="21"/>
      <c r="F55" s="22">
        <v>1500</v>
      </c>
      <c r="G55" s="22">
        <v>-3</v>
      </c>
      <c r="H55" s="22" t="b">
        <v>0</v>
      </c>
      <c r="I55" s="27">
        <v>0.84099999999999997</v>
      </c>
      <c r="J55" s="22">
        <v>0.8296</v>
      </c>
      <c r="K55" s="22">
        <v>0.9032</v>
      </c>
      <c r="L55" s="55">
        <v>0.9032</v>
      </c>
      <c r="M55" s="70" t="s">
        <v>20</v>
      </c>
      <c r="N55" s="70"/>
      <c r="O55" s="70"/>
      <c r="Q55" s="29" t="s">
        <v>3</v>
      </c>
      <c r="R55" s="20" t="s">
        <v>25</v>
      </c>
      <c r="S55" s="21"/>
      <c r="T55" s="21"/>
      <c r="U55" s="22">
        <v>1500</v>
      </c>
      <c r="V55" s="22">
        <v>-3</v>
      </c>
      <c r="W55" s="22" t="b">
        <v>0</v>
      </c>
      <c r="X55" s="27">
        <v>0.80840000000000001</v>
      </c>
      <c r="Y55" s="27">
        <v>0.82169999999999999</v>
      </c>
      <c r="Z55" s="17">
        <v>1</v>
      </c>
      <c r="AA55" s="28">
        <v>0.91669999999999996</v>
      </c>
      <c r="AB55" s="70" t="s">
        <v>20</v>
      </c>
      <c r="AC55" s="70"/>
      <c r="AD55" s="70"/>
    </row>
    <row r="56" spans="2:30" ht="15" customHeight="1" x14ac:dyDescent="0.2">
      <c r="B56" s="30"/>
      <c r="C56" s="20"/>
      <c r="D56" s="21"/>
      <c r="E56" s="21"/>
      <c r="F56" s="22"/>
      <c r="G56" s="22"/>
      <c r="H56" s="22"/>
      <c r="I56" s="27"/>
      <c r="J56" s="22"/>
      <c r="K56" s="22"/>
      <c r="L56" s="55"/>
      <c r="M56" s="70"/>
      <c r="N56" s="70"/>
      <c r="O56" s="70"/>
      <c r="Q56" s="30"/>
      <c r="R56" s="20"/>
      <c r="S56" s="21"/>
      <c r="T56" s="21"/>
      <c r="U56" s="22"/>
      <c r="V56" s="22"/>
      <c r="W56" s="22"/>
      <c r="X56" s="27"/>
      <c r="Y56" s="27"/>
      <c r="Z56" s="18"/>
      <c r="AA56" s="28"/>
      <c r="AB56" s="70"/>
      <c r="AC56" s="70"/>
      <c r="AD56" s="70"/>
    </row>
    <row r="57" spans="2:30" ht="15" customHeight="1" x14ac:dyDescent="0.2">
      <c r="B57" s="30"/>
      <c r="C57" s="20"/>
      <c r="D57" s="21"/>
      <c r="E57" s="21"/>
      <c r="F57" s="22"/>
      <c r="G57" s="22"/>
      <c r="H57" s="22"/>
      <c r="I57" s="27"/>
      <c r="J57" s="22"/>
      <c r="K57" s="22"/>
      <c r="L57" s="55"/>
      <c r="M57" s="70"/>
      <c r="N57" s="70"/>
      <c r="O57" s="70"/>
      <c r="Q57" s="30"/>
      <c r="R57" s="20"/>
      <c r="S57" s="21"/>
      <c r="T57" s="21"/>
      <c r="U57" s="22"/>
      <c r="V57" s="22"/>
      <c r="W57" s="22"/>
      <c r="X57" s="27"/>
      <c r="Y57" s="27"/>
      <c r="Z57" s="19"/>
      <c r="AA57" s="28"/>
      <c r="AB57" s="70"/>
      <c r="AC57" s="70"/>
      <c r="AD57" s="70"/>
    </row>
    <row r="58" spans="2:30" ht="15" customHeight="1" x14ac:dyDescent="0.2">
      <c r="B58" s="30"/>
      <c r="C58" s="20" t="s">
        <v>24</v>
      </c>
      <c r="D58" s="21"/>
      <c r="E58" s="21"/>
      <c r="F58" s="22">
        <v>1500</v>
      </c>
      <c r="G58" s="22">
        <v>-3</v>
      </c>
      <c r="H58" s="22" t="b">
        <v>0</v>
      </c>
      <c r="I58" s="22">
        <v>0.83830000000000005</v>
      </c>
      <c r="J58" s="22">
        <v>0.82909999999999995</v>
      </c>
      <c r="K58" s="22">
        <v>0.9355</v>
      </c>
      <c r="L58" s="55">
        <v>0.9032</v>
      </c>
      <c r="M58" s="70"/>
      <c r="N58" s="70"/>
      <c r="O58" s="70"/>
      <c r="Q58" s="30"/>
      <c r="R58" s="20" t="s">
        <v>25</v>
      </c>
      <c r="S58" s="21"/>
      <c r="T58" s="21"/>
      <c r="U58" s="22">
        <v>1500</v>
      </c>
      <c r="V58" s="22">
        <v>-3</v>
      </c>
      <c r="W58" s="22" t="b">
        <v>0</v>
      </c>
      <c r="X58" s="27">
        <v>0.80920000000000003</v>
      </c>
      <c r="Y58" s="27">
        <v>0.8155</v>
      </c>
      <c r="Z58" s="17">
        <v>1</v>
      </c>
      <c r="AA58" s="28">
        <v>0.91669999999999996</v>
      </c>
      <c r="AB58" s="70"/>
      <c r="AC58" s="70"/>
      <c r="AD58" s="70"/>
    </row>
    <row r="59" spans="2:30" ht="15" customHeight="1" x14ac:dyDescent="0.2">
      <c r="B59" s="30"/>
      <c r="C59" s="20"/>
      <c r="D59" s="21"/>
      <c r="E59" s="21"/>
      <c r="F59" s="22"/>
      <c r="G59" s="22"/>
      <c r="H59" s="22"/>
      <c r="I59" s="22"/>
      <c r="J59" s="22"/>
      <c r="K59" s="22"/>
      <c r="L59" s="55"/>
      <c r="M59" s="70"/>
      <c r="N59" s="70"/>
      <c r="O59" s="70"/>
      <c r="Q59" s="30"/>
      <c r="R59" s="20"/>
      <c r="S59" s="21"/>
      <c r="T59" s="21"/>
      <c r="U59" s="22"/>
      <c r="V59" s="22"/>
      <c r="W59" s="22"/>
      <c r="X59" s="27"/>
      <c r="Y59" s="27"/>
      <c r="Z59" s="18"/>
      <c r="AA59" s="28"/>
      <c r="AB59" s="70"/>
      <c r="AC59" s="70"/>
      <c r="AD59" s="70"/>
    </row>
    <row r="60" spans="2:30" ht="15" customHeight="1" x14ac:dyDescent="0.2">
      <c r="B60" s="30"/>
      <c r="C60" s="20"/>
      <c r="D60" s="21"/>
      <c r="E60" s="21"/>
      <c r="F60" s="22"/>
      <c r="G60" s="22"/>
      <c r="H60" s="22"/>
      <c r="I60" s="22"/>
      <c r="J60" s="22"/>
      <c r="K60" s="22"/>
      <c r="L60" s="55"/>
      <c r="M60" s="70"/>
      <c r="N60" s="70"/>
      <c r="O60" s="70"/>
      <c r="Q60" s="30"/>
      <c r="R60" s="20"/>
      <c r="S60" s="21"/>
      <c r="T60" s="21"/>
      <c r="U60" s="22"/>
      <c r="V60" s="22"/>
      <c r="W60" s="22"/>
      <c r="X60" s="27"/>
      <c r="Y60" s="27"/>
      <c r="Z60" s="19"/>
      <c r="AA60" s="28"/>
      <c r="AB60" s="70"/>
      <c r="AC60" s="70"/>
      <c r="AD60" s="70"/>
    </row>
    <row r="61" spans="2:30" ht="15" customHeight="1" x14ac:dyDescent="0.2">
      <c r="B61" s="30"/>
      <c r="C61" s="20" t="s">
        <v>24</v>
      </c>
      <c r="D61" s="21"/>
      <c r="E61" s="21"/>
      <c r="F61" s="22">
        <v>1500</v>
      </c>
      <c r="G61" s="22">
        <v>-3</v>
      </c>
      <c r="H61" s="22" t="b">
        <v>0</v>
      </c>
      <c r="I61" s="22">
        <v>0.84060000000000001</v>
      </c>
      <c r="J61" s="22">
        <v>0.83120000000000005</v>
      </c>
      <c r="K61" s="22">
        <v>0.9032</v>
      </c>
      <c r="L61" s="55">
        <v>0.8871</v>
      </c>
      <c r="M61" s="70"/>
      <c r="N61" s="70"/>
      <c r="O61" s="70"/>
      <c r="Q61" s="30"/>
      <c r="R61" s="20" t="s">
        <v>25</v>
      </c>
      <c r="S61" s="21"/>
      <c r="T61" s="21"/>
      <c r="U61" s="22">
        <v>1500</v>
      </c>
      <c r="V61" s="22">
        <v>-3</v>
      </c>
      <c r="W61" s="22" t="b">
        <v>0</v>
      </c>
      <c r="X61" s="27">
        <v>0.8014</v>
      </c>
      <c r="Y61" s="27">
        <v>0.82</v>
      </c>
      <c r="Z61" s="17">
        <v>1</v>
      </c>
      <c r="AA61" s="28">
        <v>0.91669999999999996</v>
      </c>
      <c r="AB61" s="70"/>
      <c r="AC61" s="70"/>
      <c r="AD61" s="70"/>
    </row>
    <row r="62" spans="2:30" ht="15" customHeight="1" x14ac:dyDescent="0.2">
      <c r="B62" s="30"/>
      <c r="C62" s="20"/>
      <c r="D62" s="21"/>
      <c r="E62" s="21"/>
      <c r="F62" s="22"/>
      <c r="G62" s="22"/>
      <c r="H62" s="22"/>
      <c r="I62" s="22"/>
      <c r="J62" s="22"/>
      <c r="K62" s="22"/>
      <c r="L62" s="55"/>
      <c r="M62" s="70"/>
      <c r="N62" s="70"/>
      <c r="O62" s="70"/>
      <c r="Q62" s="30"/>
      <c r="R62" s="20"/>
      <c r="S62" s="21"/>
      <c r="T62" s="21"/>
      <c r="U62" s="22"/>
      <c r="V62" s="22"/>
      <c r="W62" s="22"/>
      <c r="X62" s="27"/>
      <c r="Y62" s="27"/>
      <c r="Z62" s="18"/>
      <c r="AA62" s="28"/>
      <c r="AB62" s="70"/>
      <c r="AC62" s="70"/>
      <c r="AD62" s="70"/>
    </row>
    <row r="63" spans="2:30" ht="15" customHeight="1" x14ac:dyDescent="0.2">
      <c r="B63" s="30"/>
      <c r="C63" s="20"/>
      <c r="D63" s="21"/>
      <c r="E63" s="21"/>
      <c r="F63" s="22"/>
      <c r="G63" s="22"/>
      <c r="H63" s="22"/>
      <c r="I63" s="22"/>
      <c r="J63" s="22"/>
      <c r="K63" s="22"/>
      <c r="L63" s="55"/>
      <c r="M63" s="70"/>
      <c r="N63" s="70"/>
      <c r="O63" s="70"/>
      <c r="Q63" s="30"/>
      <c r="R63" s="20"/>
      <c r="S63" s="21"/>
      <c r="T63" s="21"/>
      <c r="U63" s="22"/>
      <c r="V63" s="22"/>
      <c r="W63" s="22"/>
      <c r="X63" s="27"/>
      <c r="Y63" s="27"/>
      <c r="Z63" s="19"/>
      <c r="AA63" s="28"/>
      <c r="AB63" s="70"/>
      <c r="AC63" s="70"/>
      <c r="AD63" s="70"/>
    </row>
    <row r="64" spans="2:30" ht="15" customHeight="1" x14ac:dyDescent="0.2">
      <c r="B64" s="30"/>
      <c r="C64" s="20" t="s">
        <v>24</v>
      </c>
      <c r="D64" s="21"/>
      <c r="E64" s="21"/>
      <c r="F64" s="22">
        <v>500</v>
      </c>
      <c r="G64" s="22">
        <v>-3</v>
      </c>
      <c r="H64" s="22" t="b">
        <v>0</v>
      </c>
      <c r="I64" s="22">
        <v>0.83750000000000002</v>
      </c>
      <c r="J64" s="22">
        <v>0.82450000000000001</v>
      </c>
      <c r="K64" s="22">
        <v>0.9032</v>
      </c>
      <c r="L64" s="55">
        <v>0.9032</v>
      </c>
      <c r="M64" s="70"/>
      <c r="N64" s="70"/>
      <c r="O64" s="70"/>
      <c r="Q64" s="30"/>
      <c r="R64" s="20" t="s">
        <v>25</v>
      </c>
      <c r="S64" s="21"/>
      <c r="T64" s="21"/>
      <c r="U64" s="22">
        <v>1500</v>
      </c>
      <c r="V64" s="22">
        <v>-3</v>
      </c>
      <c r="W64" s="22" t="b">
        <v>0</v>
      </c>
      <c r="X64" s="27">
        <v>0.79630000000000001</v>
      </c>
      <c r="Y64" s="27">
        <v>0.83009999999999995</v>
      </c>
      <c r="Z64" s="17">
        <v>1</v>
      </c>
      <c r="AA64" s="28">
        <v>1</v>
      </c>
      <c r="AB64" s="70"/>
      <c r="AC64" s="70"/>
      <c r="AD64" s="70"/>
    </row>
    <row r="65" spans="2:30" ht="15" customHeight="1" x14ac:dyDescent="0.2">
      <c r="B65" s="30"/>
      <c r="C65" s="20"/>
      <c r="D65" s="21"/>
      <c r="E65" s="21"/>
      <c r="F65" s="22"/>
      <c r="G65" s="22"/>
      <c r="H65" s="22"/>
      <c r="I65" s="22"/>
      <c r="J65" s="22"/>
      <c r="K65" s="22"/>
      <c r="L65" s="55"/>
      <c r="M65" s="70"/>
      <c r="N65" s="70"/>
      <c r="O65" s="70"/>
      <c r="Q65" s="30"/>
      <c r="R65" s="20"/>
      <c r="S65" s="21"/>
      <c r="T65" s="21"/>
      <c r="U65" s="22"/>
      <c r="V65" s="22"/>
      <c r="W65" s="22"/>
      <c r="X65" s="27"/>
      <c r="Y65" s="27"/>
      <c r="Z65" s="18"/>
      <c r="AA65" s="28"/>
      <c r="AB65" s="70"/>
      <c r="AC65" s="70"/>
      <c r="AD65" s="70"/>
    </row>
    <row r="66" spans="2:30" ht="15" customHeight="1" x14ac:dyDescent="0.2">
      <c r="B66" s="30"/>
      <c r="C66" s="20"/>
      <c r="D66" s="21"/>
      <c r="E66" s="21"/>
      <c r="F66" s="22"/>
      <c r="G66" s="22"/>
      <c r="H66" s="22"/>
      <c r="I66" s="22"/>
      <c r="J66" s="22"/>
      <c r="K66" s="22"/>
      <c r="L66" s="55"/>
      <c r="M66" s="70"/>
      <c r="N66" s="70"/>
      <c r="O66" s="70"/>
      <c r="Q66" s="30"/>
      <c r="R66" s="20"/>
      <c r="S66" s="21"/>
      <c r="T66" s="21"/>
      <c r="U66" s="22"/>
      <c r="V66" s="22"/>
      <c r="W66" s="22"/>
      <c r="X66" s="27"/>
      <c r="Y66" s="27"/>
      <c r="Z66" s="19"/>
      <c r="AA66" s="28"/>
      <c r="AB66" s="70"/>
      <c r="AC66" s="70"/>
      <c r="AD66" s="70"/>
    </row>
    <row r="67" spans="2:30" ht="27.75" customHeight="1" x14ac:dyDescent="0.2">
      <c r="B67" s="30"/>
      <c r="C67" s="56" t="s">
        <v>23</v>
      </c>
      <c r="D67" s="22"/>
      <c r="E67" s="22"/>
      <c r="F67" s="22"/>
      <c r="G67" s="22"/>
      <c r="H67" s="22"/>
      <c r="I67" s="7">
        <f>AVERAGE(I55:I66)</f>
        <v>0.83934999999999993</v>
      </c>
      <c r="J67" s="7">
        <f>AVERAGE(J55:J66)</f>
        <v>0.8286</v>
      </c>
      <c r="K67" s="7">
        <f>AVERAGE(K55:K66)</f>
        <v>0.91127500000000006</v>
      </c>
      <c r="L67" s="9">
        <f>AVERAGE(L55:L66)</f>
        <v>0.89917500000000006</v>
      </c>
      <c r="M67" s="70"/>
      <c r="N67" s="70"/>
      <c r="O67" s="70"/>
      <c r="Q67" s="30"/>
      <c r="R67" s="71" t="s">
        <v>23</v>
      </c>
      <c r="S67" s="71"/>
      <c r="T67" s="71"/>
      <c r="U67" s="71"/>
      <c r="V67" s="71"/>
      <c r="W67" s="56"/>
      <c r="X67" s="7">
        <f>AVERAGE(X55:X66)</f>
        <v>0.80382500000000001</v>
      </c>
      <c r="Y67" s="7">
        <f>AVERAGE(Y55:Y66)</f>
        <v>0.82182499999999992</v>
      </c>
      <c r="Z67" s="7">
        <f>AVERAGE(Z55:Z66)</f>
        <v>1</v>
      </c>
      <c r="AA67" s="9">
        <f>AVERAGE(AA55:AA66)</f>
        <v>0.93752499999999994</v>
      </c>
      <c r="AB67" s="70"/>
      <c r="AC67" s="70"/>
      <c r="AD67" s="70"/>
    </row>
    <row r="68" spans="2:30" ht="15" customHeight="1" x14ac:dyDescent="0.2">
      <c r="B68" s="30"/>
      <c r="C68" s="20" t="s">
        <v>26</v>
      </c>
      <c r="D68" s="21"/>
      <c r="E68" s="21"/>
      <c r="F68" s="22">
        <v>1500</v>
      </c>
      <c r="G68" s="22">
        <v>-3</v>
      </c>
      <c r="H68" s="22" t="b">
        <v>1</v>
      </c>
      <c r="I68" s="27">
        <v>0.84019999999999995</v>
      </c>
      <c r="J68" s="22">
        <v>0.83289999999999997</v>
      </c>
      <c r="K68" s="22">
        <v>0.9355</v>
      </c>
      <c r="L68" s="55">
        <v>0.9194</v>
      </c>
      <c r="M68" s="70"/>
      <c r="N68" s="70"/>
      <c r="O68" s="70"/>
      <c r="Q68" s="30"/>
      <c r="R68" s="20" t="s">
        <v>27</v>
      </c>
      <c r="S68" s="21"/>
      <c r="T68" s="21"/>
      <c r="U68" s="22">
        <v>1500</v>
      </c>
      <c r="V68" s="22">
        <v>-3</v>
      </c>
      <c r="W68" s="22" t="b">
        <v>1</v>
      </c>
      <c r="X68" s="27">
        <v>0.82399999999999995</v>
      </c>
      <c r="Y68" s="27">
        <v>0.83360000000000001</v>
      </c>
      <c r="Z68" s="17">
        <v>1</v>
      </c>
      <c r="AA68" s="23">
        <v>1</v>
      </c>
      <c r="AB68" s="70"/>
      <c r="AC68" s="70"/>
      <c r="AD68" s="70"/>
    </row>
    <row r="69" spans="2:30" ht="15" customHeight="1" x14ac:dyDescent="0.2">
      <c r="B69" s="30"/>
      <c r="C69" s="20"/>
      <c r="D69" s="21"/>
      <c r="E69" s="21"/>
      <c r="F69" s="22"/>
      <c r="G69" s="22"/>
      <c r="H69" s="22"/>
      <c r="I69" s="27"/>
      <c r="J69" s="22"/>
      <c r="K69" s="22"/>
      <c r="L69" s="55"/>
      <c r="M69" s="70"/>
      <c r="N69" s="70"/>
      <c r="O69" s="70"/>
      <c r="Q69" s="30"/>
      <c r="R69" s="20"/>
      <c r="S69" s="21"/>
      <c r="T69" s="21"/>
      <c r="U69" s="22"/>
      <c r="V69" s="22"/>
      <c r="W69" s="22"/>
      <c r="X69" s="27"/>
      <c r="Y69" s="27"/>
      <c r="Z69" s="18"/>
      <c r="AA69" s="24"/>
      <c r="AB69" s="70"/>
      <c r="AC69" s="70"/>
      <c r="AD69" s="70"/>
    </row>
    <row r="70" spans="2:30" ht="15" customHeight="1" x14ac:dyDescent="0.2">
      <c r="B70" s="30"/>
      <c r="C70" s="20"/>
      <c r="D70" s="21"/>
      <c r="E70" s="21"/>
      <c r="F70" s="22"/>
      <c r="G70" s="22"/>
      <c r="H70" s="22"/>
      <c r="I70" s="27"/>
      <c r="J70" s="22"/>
      <c r="K70" s="22"/>
      <c r="L70" s="55"/>
      <c r="M70" s="70"/>
      <c r="N70" s="70"/>
      <c r="O70" s="70"/>
      <c r="Q70" s="30"/>
      <c r="R70" s="20"/>
      <c r="S70" s="21"/>
      <c r="T70" s="21"/>
      <c r="U70" s="22"/>
      <c r="V70" s="22"/>
      <c r="W70" s="22"/>
      <c r="X70" s="27"/>
      <c r="Y70" s="27"/>
      <c r="Z70" s="19"/>
      <c r="AA70" s="25"/>
      <c r="AB70" s="70"/>
      <c r="AC70" s="70"/>
      <c r="AD70" s="70"/>
    </row>
    <row r="71" spans="2:30" ht="15" customHeight="1" x14ac:dyDescent="0.2">
      <c r="B71" s="30"/>
      <c r="C71" s="20" t="s">
        <v>26</v>
      </c>
      <c r="D71" s="21"/>
      <c r="E71" s="21"/>
      <c r="F71" s="22">
        <v>1500</v>
      </c>
      <c r="G71" s="22">
        <v>-3</v>
      </c>
      <c r="H71" s="22" t="b">
        <v>1</v>
      </c>
      <c r="I71" s="39">
        <v>0.84519999999999995</v>
      </c>
      <c r="J71" s="39">
        <v>0.83479999999999999</v>
      </c>
      <c r="K71" s="22">
        <v>0.9677</v>
      </c>
      <c r="L71" s="55">
        <v>0.9194</v>
      </c>
      <c r="M71" s="70"/>
      <c r="N71" s="70"/>
      <c r="O71" s="70"/>
      <c r="Q71" s="30"/>
      <c r="R71" s="20" t="s">
        <v>27</v>
      </c>
      <c r="S71" s="21"/>
      <c r="T71" s="21"/>
      <c r="U71" s="22">
        <v>1500</v>
      </c>
      <c r="V71" s="22">
        <v>-3</v>
      </c>
      <c r="W71" s="22" t="b">
        <v>1</v>
      </c>
      <c r="X71" s="27">
        <v>0.82179999999999997</v>
      </c>
      <c r="Y71" s="27">
        <v>0.83440000000000003</v>
      </c>
      <c r="Z71" s="17">
        <v>1</v>
      </c>
      <c r="AA71" s="23">
        <v>1</v>
      </c>
      <c r="AB71" s="70"/>
      <c r="AC71" s="70"/>
      <c r="AD71" s="70"/>
    </row>
    <row r="72" spans="2:30" ht="15" customHeight="1" x14ac:dyDescent="0.2">
      <c r="B72" s="30"/>
      <c r="C72" s="20"/>
      <c r="D72" s="21"/>
      <c r="E72" s="21"/>
      <c r="F72" s="22"/>
      <c r="G72" s="22"/>
      <c r="H72" s="22"/>
      <c r="I72" s="39"/>
      <c r="J72" s="39"/>
      <c r="K72" s="22"/>
      <c r="L72" s="55"/>
      <c r="M72" s="70"/>
      <c r="N72" s="70"/>
      <c r="O72" s="70"/>
      <c r="Q72" s="30"/>
      <c r="R72" s="20"/>
      <c r="S72" s="21"/>
      <c r="T72" s="21"/>
      <c r="U72" s="22"/>
      <c r="V72" s="22"/>
      <c r="W72" s="22"/>
      <c r="X72" s="27"/>
      <c r="Y72" s="27"/>
      <c r="Z72" s="18"/>
      <c r="AA72" s="24"/>
      <c r="AB72" s="70"/>
      <c r="AC72" s="70"/>
      <c r="AD72" s="70"/>
    </row>
    <row r="73" spans="2:30" ht="15" customHeight="1" x14ac:dyDescent="0.2">
      <c r="B73" s="30"/>
      <c r="C73" s="20"/>
      <c r="D73" s="21"/>
      <c r="E73" s="21"/>
      <c r="F73" s="22"/>
      <c r="G73" s="22"/>
      <c r="H73" s="22"/>
      <c r="I73" s="39"/>
      <c r="J73" s="39"/>
      <c r="K73" s="22"/>
      <c r="L73" s="55"/>
      <c r="M73" s="70"/>
      <c r="N73" s="70"/>
      <c r="O73" s="70"/>
      <c r="Q73" s="30"/>
      <c r="R73" s="20"/>
      <c r="S73" s="21"/>
      <c r="T73" s="21"/>
      <c r="U73" s="22"/>
      <c r="V73" s="22"/>
      <c r="W73" s="22"/>
      <c r="X73" s="27"/>
      <c r="Y73" s="27"/>
      <c r="Z73" s="19"/>
      <c r="AA73" s="25"/>
      <c r="AB73" s="70"/>
      <c r="AC73" s="70"/>
      <c r="AD73" s="70"/>
    </row>
    <row r="74" spans="2:30" ht="15" customHeight="1" x14ac:dyDescent="0.2">
      <c r="B74" s="30"/>
      <c r="C74" s="20" t="s">
        <v>26</v>
      </c>
      <c r="D74" s="21"/>
      <c r="E74" s="21"/>
      <c r="F74" s="22">
        <v>1500</v>
      </c>
      <c r="G74" s="22">
        <v>-3</v>
      </c>
      <c r="H74" s="22" t="b">
        <v>1</v>
      </c>
      <c r="I74" s="22">
        <v>0.84340000000000004</v>
      </c>
      <c r="J74" s="22">
        <v>0.83150000000000002</v>
      </c>
      <c r="K74" s="22">
        <v>0.9355</v>
      </c>
      <c r="L74" s="55">
        <v>0.9032</v>
      </c>
      <c r="M74" s="70"/>
      <c r="N74" s="70"/>
      <c r="O74" s="70"/>
      <c r="Q74" s="30"/>
      <c r="R74" s="20" t="s">
        <v>27</v>
      </c>
      <c r="S74" s="21"/>
      <c r="T74" s="21"/>
      <c r="U74" s="22">
        <v>1500</v>
      </c>
      <c r="V74" s="22">
        <v>-3</v>
      </c>
      <c r="W74" s="22" t="b">
        <v>1</v>
      </c>
      <c r="X74" s="26">
        <v>0.82689999999999997</v>
      </c>
      <c r="Y74" s="26">
        <v>0.83340000000000003</v>
      </c>
      <c r="Z74" s="17">
        <v>1</v>
      </c>
      <c r="AA74" s="23">
        <v>1</v>
      </c>
      <c r="AB74" s="70"/>
      <c r="AC74" s="70"/>
      <c r="AD74" s="70"/>
    </row>
    <row r="75" spans="2:30" ht="15" customHeight="1" x14ac:dyDescent="0.2">
      <c r="B75" s="30"/>
      <c r="C75" s="20"/>
      <c r="D75" s="21"/>
      <c r="E75" s="21"/>
      <c r="F75" s="22"/>
      <c r="G75" s="22"/>
      <c r="H75" s="22"/>
      <c r="I75" s="22"/>
      <c r="J75" s="22"/>
      <c r="K75" s="22"/>
      <c r="L75" s="55"/>
      <c r="M75" s="70"/>
      <c r="N75" s="70"/>
      <c r="O75" s="70"/>
      <c r="Q75" s="30"/>
      <c r="R75" s="20"/>
      <c r="S75" s="21"/>
      <c r="T75" s="21"/>
      <c r="U75" s="22"/>
      <c r="V75" s="22"/>
      <c r="W75" s="22"/>
      <c r="X75" s="26"/>
      <c r="Y75" s="26"/>
      <c r="Z75" s="18"/>
      <c r="AA75" s="24"/>
      <c r="AB75" s="70"/>
      <c r="AC75" s="70"/>
      <c r="AD75" s="70"/>
    </row>
    <row r="76" spans="2:30" ht="15" customHeight="1" x14ac:dyDescent="0.2">
      <c r="B76" s="30"/>
      <c r="C76" s="20"/>
      <c r="D76" s="21"/>
      <c r="E76" s="21"/>
      <c r="F76" s="22"/>
      <c r="G76" s="22"/>
      <c r="H76" s="22"/>
      <c r="I76" s="22"/>
      <c r="J76" s="22"/>
      <c r="K76" s="22"/>
      <c r="L76" s="55"/>
      <c r="M76" s="70"/>
      <c r="N76" s="70"/>
      <c r="O76" s="70"/>
      <c r="Q76" s="30"/>
      <c r="R76" s="20"/>
      <c r="S76" s="21"/>
      <c r="T76" s="21"/>
      <c r="U76" s="22"/>
      <c r="V76" s="22"/>
      <c r="W76" s="22"/>
      <c r="X76" s="26"/>
      <c r="Y76" s="26"/>
      <c r="Z76" s="19"/>
      <c r="AA76" s="25"/>
      <c r="AB76" s="70"/>
      <c r="AC76" s="70"/>
      <c r="AD76" s="70"/>
    </row>
    <row r="77" spans="2:30" ht="15" customHeight="1" x14ac:dyDescent="0.2">
      <c r="B77" s="30"/>
      <c r="C77" s="20" t="s">
        <v>26</v>
      </c>
      <c r="D77" s="21"/>
      <c r="E77" s="21"/>
      <c r="F77" s="22">
        <v>1500</v>
      </c>
      <c r="G77" s="22">
        <v>-3</v>
      </c>
      <c r="H77" s="22" t="b">
        <v>1</v>
      </c>
      <c r="I77" s="22">
        <v>0.84219999999999995</v>
      </c>
      <c r="J77" s="22">
        <v>0.83340000000000003</v>
      </c>
      <c r="K77" s="22">
        <v>0.9355</v>
      </c>
      <c r="L77" s="55">
        <v>0.9032</v>
      </c>
      <c r="M77" s="70"/>
      <c r="N77" s="70"/>
      <c r="O77" s="70"/>
      <c r="Q77" s="30"/>
      <c r="R77" s="20" t="s">
        <v>27</v>
      </c>
      <c r="S77" s="21"/>
      <c r="T77" s="21"/>
      <c r="U77" s="22">
        <v>1500</v>
      </c>
      <c r="V77" s="22">
        <v>-3</v>
      </c>
      <c r="W77" s="22" t="b">
        <v>1</v>
      </c>
      <c r="X77" s="27">
        <v>0.82640000000000002</v>
      </c>
      <c r="Y77" s="27">
        <v>0.83430000000000004</v>
      </c>
      <c r="Z77" s="17">
        <v>1</v>
      </c>
      <c r="AA77" s="23">
        <v>1</v>
      </c>
      <c r="AB77" s="70"/>
      <c r="AC77" s="70"/>
      <c r="AD77" s="70"/>
    </row>
    <row r="78" spans="2:30" ht="15" customHeight="1" x14ac:dyDescent="0.2">
      <c r="B78" s="30"/>
      <c r="C78" s="20"/>
      <c r="D78" s="21"/>
      <c r="E78" s="21"/>
      <c r="F78" s="22"/>
      <c r="G78" s="22"/>
      <c r="H78" s="22"/>
      <c r="I78" s="22"/>
      <c r="J78" s="22"/>
      <c r="K78" s="22"/>
      <c r="L78" s="55"/>
      <c r="M78" s="70"/>
      <c r="N78" s="70"/>
      <c r="O78" s="70"/>
      <c r="Q78" s="30"/>
      <c r="R78" s="20"/>
      <c r="S78" s="21"/>
      <c r="T78" s="21"/>
      <c r="U78" s="22"/>
      <c r="V78" s="22"/>
      <c r="W78" s="22"/>
      <c r="X78" s="27"/>
      <c r="Y78" s="27"/>
      <c r="Z78" s="18"/>
      <c r="AA78" s="24"/>
      <c r="AB78" s="70"/>
      <c r="AC78" s="70"/>
      <c r="AD78" s="70"/>
    </row>
    <row r="79" spans="2:30" ht="15" customHeight="1" x14ac:dyDescent="0.2">
      <c r="B79" s="30"/>
      <c r="C79" s="20"/>
      <c r="D79" s="21"/>
      <c r="E79" s="21"/>
      <c r="F79" s="22"/>
      <c r="G79" s="22"/>
      <c r="H79" s="22"/>
      <c r="I79" s="22"/>
      <c r="J79" s="22"/>
      <c r="K79" s="22"/>
      <c r="L79" s="55"/>
      <c r="M79" s="70"/>
      <c r="N79" s="70"/>
      <c r="O79" s="70"/>
      <c r="Q79" s="30"/>
      <c r="R79" s="20"/>
      <c r="S79" s="21"/>
      <c r="T79" s="21"/>
      <c r="U79" s="22"/>
      <c r="V79" s="22"/>
      <c r="W79" s="22"/>
      <c r="X79" s="27"/>
      <c r="Y79" s="27"/>
      <c r="Z79" s="19"/>
      <c r="AA79" s="25"/>
      <c r="AB79" s="70"/>
      <c r="AC79" s="70"/>
      <c r="AD79" s="70"/>
    </row>
    <row r="80" spans="2:30" ht="28.5" customHeight="1" x14ac:dyDescent="0.2">
      <c r="B80" s="30"/>
      <c r="C80" s="56" t="s">
        <v>23</v>
      </c>
      <c r="D80" s="22"/>
      <c r="E80" s="22"/>
      <c r="F80" s="22"/>
      <c r="G80" s="22"/>
      <c r="H80" s="22"/>
      <c r="I80" s="8">
        <f>AVERAGE(I68:I79)</f>
        <v>0.84275</v>
      </c>
      <c r="J80" s="8">
        <f>AVERAGE(J68:J79)</f>
        <v>0.83315000000000006</v>
      </c>
      <c r="K80" s="8">
        <f>AVERAGE(K68:K79)</f>
        <v>0.94355000000000011</v>
      </c>
      <c r="L80" s="10">
        <f>AVERAGE(L68:L79)</f>
        <v>0.9113</v>
      </c>
      <c r="M80" s="70"/>
      <c r="N80" s="70"/>
      <c r="O80" s="70"/>
      <c r="Q80" s="30"/>
      <c r="R80" s="71" t="s">
        <v>23</v>
      </c>
      <c r="S80" s="71"/>
      <c r="T80" s="71"/>
      <c r="U80" s="71"/>
      <c r="V80" s="71"/>
      <c r="W80" s="56"/>
      <c r="X80" s="8">
        <f>AVERAGE(X68:X79)</f>
        <v>0.82477499999999992</v>
      </c>
      <c r="Y80" s="8">
        <f>AVERAGE(Y68:Y79)</f>
        <v>0.83392500000000003</v>
      </c>
      <c r="Z80" s="8">
        <f>AVERAGE(Z68:Z79)</f>
        <v>1</v>
      </c>
      <c r="AA80" s="10">
        <f>AVERAGE(AA68:AA79)</f>
        <v>1</v>
      </c>
      <c r="AB80" s="70"/>
      <c r="AC80" s="70"/>
      <c r="AD80" s="70"/>
    </row>
    <row r="81" spans="2:30" ht="15" customHeight="1" x14ac:dyDescent="0.2">
      <c r="B81" s="30"/>
      <c r="C81" s="20" t="s">
        <v>42</v>
      </c>
      <c r="D81" s="21"/>
      <c r="E81" s="21"/>
      <c r="F81" s="22">
        <v>1500</v>
      </c>
      <c r="G81" s="22">
        <v>-3</v>
      </c>
      <c r="H81" s="22" t="b">
        <v>1</v>
      </c>
      <c r="I81" s="27">
        <v>0.81140000000000001</v>
      </c>
      <c r="J81" s="27">
        <v>0.80179999999999996</v>
      </c>
      <c r="K81" s="27">
        <v>1</v>
      </c>
      <c r="L81" s="28">
        <v>0.9194</v>
      </c>
      <c r="M81" s="70"/>
      <c r="N81" s="70"/>
      <c r="O81" s="70"/>
      <c r="Q81" s="30"/>
      <c r="R81" s="20" t="s">
        <v>34</v>
      </c>
      <c r="S81" s="21"/>
      <c r="T81" s="21"/>
      <c r="U81" s="22">
        <v>1500</v>
      </c>
      <c r="V81" s="22">
        <v>-3</v>
      </c>
      <c r="W81" s="22" t="b">
        <v>1</v>
      </c>
      <c r="X81" s="27">
        <v>0.8054</v>
      </c>
      <c r="Y81" s="27">
        <v>0.82969999999999999</v>
      </c>
      <c r="Z81" s="17">
        <v>1</v>
      </c>
      <c r="AA81" s="23">
        <v>1</v>
      </c>
      <c r="AB81" s="70"/>
      <c r="AC81" s="70"/>
      <c r="AD81" s="70"/>
    </row>
    <row r="82" spans="2:30" ht="15" customHeight="1" x14ac:dyDescent="0.2">
      <c r="B82" s="30"/>
      <c r="C82" s="20"/>
      <c r="D82" s="21"/>
      <c r="E82" s="21"/>
      <c r="F82" s="22"/>
      <c r="G82" s="22"/>
      <c r="H82" s="22"/>
      <c r="I82" s="27"/>
      <c r="J82" s="27"/>
      <c r="K82" s="27"/>
      <c r="L82" s="28"/>
      <c r="M82" s="70"/>
      <c r="N82" s="70"/>
      <c r="O82" s="70"/>
      <c r="Q82" s="30"/>
      <c r="R82" s="20"/>
      <c r="S82" s="21"/>
      <c r="T82" s="21"/>
      <c r="U82" s="22"/>
      <c r="V82" s="22"/>
      <c r="W82" s="22"/>
      <c r="X82" s="27"/>
      <c r="Y82" s="27"/>
      <c r="Z82" s="18"/>
      <c r="AA82" s="24"/>
      <c r="AB82" s="70"/>
      <c r="AC82" s="70"/>
      <c r="AD82" s="70"/>
    </row>
    <row r="83" spans="2:30" ht="15" customHeight="1" x14ac:dyDescent="0.2">
      <c r="B83" s="30"/>
      <c r="C83" s="20"/>
      <c r="D83" s="21"/>
      <c r="E83" s="21"/>
      <c r="F83" s="22"/>
      <c r="G83" s="22"/>
      <c r="H83" s="22"/>
      <c r="I83" s="27"/>
      <c r="J83" s="27"/>
      <c r="K83" s="27"/>
      <c r="L83" s="28"/>
      <c r="M83" s="70"/>
      <c r="N83" s="70"/>
      <c r="O83" s="70"/>
      <c r="Q83" s="30"/>
      <c r="R83" s="20"/>
      <c r="S83" s="21"/>
      <c r="T83" s="21"/>
      <c r="U83" s="22"/>
      <c r="V83" s="22"/>
      <c r="W83" s="22"/>
      <c r="X83" s="27"/>
      <c r="Y83" s="27"/>
      <c r="Z83" s="19"/>
      <c r="AA83" s="25"/>
      <c r="AB83" s="70"/>
      <c r="AC83" s="70"/>
      <c r="AD83" s="70"/>
    </row>
    <row r="84" spans="2:30" ht="15" customHeight="1" x14ac:dyDescent="0.2">
      <c r="B84" s="30"/>
      <c r="C84" s="20" t="s">
        <v>43</v>
      </c>
      <c r="D84" s="21"/>
      <c r="E84" s="21"/>
      <c r="F84" s="22">
        <v>1500</v>
      </c>
      <c r="G84" s="22">
        <v>-3</v>
      </c>
      <c r="H84" s="22" t="b">
        <v>1</v>
      </c>
      <c r="I84" s="27">
        <v>0.81569999999999998</v>
      </c>
      <c r="J84" s="27">
        <v>0.80649999999999999</v>
      </c>
      <c r="K84" s="27">
        <v>0.9355</v>
      </c>
      <c r="L84" s="28">
        <v>0.8871</v>
      </c>
      <c r="M84" s="70"/>
      <c r="N84" s="70"/>
      <c r="O84" s="70"/>
      <c r="Q84" s="30"/>
      <c r="R84" s="20" t="s">
        <v>37</v>
      </c>
      <c r="S84" s="21"/>
      <c r="T84" s="21"/>
      <c r="U84" s="22">
        <v>1500</v>
      </c>
      <c r="V84" s="22">
        <v>-3</v>
      </c>
      <c r="W84" s="22" t="b">
        <v>1</v>
      </c>
      <c r="X84" s="27">
        <v>0.76910000000000001</v>
      </c>
      <c r="Y84" s="27">
        <v>0.80889999999999995</v>
      </c>
      <c r="Z84" s="17">
        <v>1</v>
      </c>
      <c r="AA84" s="23">
        <v>1</v>
      </c>
      <c r="AB84" s="70"/>
      <c r="AC84" s="70"/>
      <c r="AD84" s="70"/>
    </row>
    <row r="85" spans="2:30" ht="15" customHeight="1" x14ac:dyDescent="0.2">
      <c r="B85" s="30"/>
      <c r="C85" s="20"/>
      <c r="D85" s="21"/>
      <c r="E85" s="21"/>
      <c r="F85" s="22"/>
      <c r="G85" s="22"/>
      <c r="H85" s="22"/>
      <c r="I85" s="27"/>
      <c r="J85" s="27"/>
      <c r="K85" s="27"/>
      <c r="L85" s="28"/>
      <c r="M85" s="70"/>
      <c r="N85" s="70"/>
      <c r="O85" s="70"/>
      <c r="Q85" s="30"/>
      <c r="R85" s="20"/>
      <c r="S85" s="21"/>
      <c r="T85" s="21"/>
      <c r="U85" s="22"/>
      <c r="V85" s="22"/>
      <c r="W85" s="22"/>
      <c r="X85" s="27"/>
      <c r="Y85" s="27"/>
      <c r="Z85" s="18"/>
      <c r="AA85" s="24"/>
      <c r="AB85" s="70"/>
      <c r="AC85" s="70"/>
      <c r="AD85" s="70"/>
    </row>
    <row r="86" spans="2:30" ht="15" customHeight="1" x14ac:dyDescent="0.2">
      <c r="B86" s="30"/>
      <c r="C86" s="20"/>
      <c r="D86" s="21"/>
      <c r="E86" s="21"/>
      <c r="F86" s="22"/>
      <c r="G86" s="22"/>
      <c r="H86" s="22"/>
      <c r="I86" s="27"/>
      <c r="J86" s="27"/>
      <c r="K86" s="27"/>
      <c r="L86" s="28"/>
      <c r="M86" s="70"/>
      <c r="N86" s="70"/>
      <c r="O86" s="70"/>
      <c r="Q86" s="30"/>
      <c r="R86" s="20"/>
      <c r="S86" s="21"/>
      <c r="T86" s="21"/>
      <c r="U86" s="22"/>
      <c r="V86" s="22"/>
      <c r="W86" s="22"/>
      <c r="X86" s="27"/>
      <c r="Y86" s="27"/>
      <c r="Z86" s="19"/>
      <c r="AA86" s="25"/>
      <c r="AB86" s="70"/>
      <c r="AC86" s="70"/>
      <c r="AD86" s="70"/>
    </row>
    <row r="87" spans="2:30" ht="15" customHeight="1" x14ac:dyDescent="0.2">
      <c r="B87" s="30"/>
      <c r="C87" s="20" t="s">
        <v>44</v>
      </c>
      <c r="D87" s="21"/>
      <c r="E87" s="21"/>
      <c r="F87" s="22">
        <v>1500</v>
      </c>
      <c r="G87" s="22">
        <v>-3</v>
      </c>
      <c r="H87" s="22" t="b">
        <v>1</v>
      </c>
      <c r="I87" s="27">
        <v>0.78359999999999996</v>
      </c>
      <c r="J87" s="27">
        <v>0.78300000000000003</v>
      </c>
      <c r="K87" s="27">
        <v>0.9677</v>
      </c>
      <c r="L87" s="28">
        <v>0.8871</v>
      </c>
      <c r="M87" s="70"/>
      <c r="N87" s="70"/>
      <c r="O87" s="70"/>
      <c r="Q87" s="30"/>
      <c r="R87" s="20" t="s">
        <v>41</v>
      </c>
      <c r="S87" s="21"/>
      <c r="T87" s="21"/>
      <c r="U87" s="22">
        <v>1500</v>
      </c>
      <c r="V87" s="22">
        <v>-3</v>
      </c>
      <c r="W87" s="22" t="b">
        <v>1</v>
      </c>
      <c r="X87" s="27">
        <v>0.55820000000000003</v>
      </c>
      <c r="Y87" s="27">
        <v>0.59430000000000005</v>
      </c>
      <c r="Z87" s="17">
        <v>0.83330000000000004</v>
      </c>
      <c r="AA87" s="23">
        <v>0.75</v>
      </c>
      <c r="AB87" s="70"/>
      <c r="AC87" s="70"/>
      <c r="AD87" s="70"/>
    </row>
    <row r="88" spans="2:30" ht="15" customHeight="1" x14ac:dyDescent="0.2">
      <c r="B88" s="30"/>
      <c r="C88" s="20"/>
      <c r="D88" s="21"/>
      <c r="E88" s="21"/>
      <c r="F88" s="22"/>
      <c r="G88" s="22"/>
      <c r="H88" s="22"/>
      <c r="I88" s="27"/>
      <c r="J88" s="27"/>
      <c r="K88" s="27"/>
      <c r="L88" s="28"/>
      <c r="M88" s="70"/>
      <c r="N88" s="70"/>
      <c r="O88" s="70"/>
      <c r="Q88" s="30"/>
      <c r="R88" s="20"/>
      <c r="S88" s="21"/>
      <c r="T88" s="21"/>
      <c r="U88" s="22"/>
      <c r="V88" s="22"/>
      <c r="W88" s="22"/>
      <c r="X88" s="27"/>
      <c r="Y88" s="27"/>
      <c r="Z88" s="18"/>
      <c r="AA88" s="24"/>
      <c r="AB88" s="70"/>
      <c r="AC88" s="70"/>
      <c r="AD88" s="70"/>
    </row>
    <row r="89" spans="2:30" ht="15" customHeight="1" x14ac:dyDescent="0.2">
      <c r="B89" s="30"/>
      <c r="C89" s="20"/>
      <c r="D89" s="21"/>
      <c r="E89" s="21"/>
      <c r="F89" s="22"/>
      <c r="G89" s="22"/>
      <c r="H89" s="22"/>
      <c r="I89" s="27"/>
      <c r="J89" s="27"/>
      <c r="K89" s="27"/>
      <c r="L89" s="28"/>
      <c r="M89" s="70"/>
      <c r="N89" s="70"/>
      <c r="O89" s="70"/>
      <c r="Q89" s="30"/>
      <c r="R89" s="20"/>
      <c r="S89" s="21"/>
      <c r="T89" s="21"/>
      <c r="U89" s="22"/>
      <c r="V89" s="22"/>
      <c r="W89" s="22"/>
      <c r="X89" s="27"/>
      <c r="Y89" s="27"/>
      <c r="Z89" s="19"/>
      <c r="AA89" s="25"/>
      <c r="AB89" s="70"/>
      <c r="AC89" s="70"/>
      <c r="AD89" s="70"/>
    </row>
    <row r="90" spans="2:30" ht="15" customHeight="1" x14ac:dyDescent="0.2">
      <c r="B90" s="30"/>
      <c r="C90" s="20" t="s">
        <v>45</v>
      </c>
      <c r="D90" s="21"/>
      <c r="E90" s="21"/>
      <c r="F90" s="22">
        <v>1500</v>
      </c>
      <c r="G90" s="22">
        <v>-3</v>
      </c>
      <c r="H90" s="22" t="b">
        <v>1</v>
      </c>
      <c r="I90" s="27">
        <v>0.79730000000000001</v>
      </c>
      <c r="J90" s="27">
        <v>0.79520000000000002</v>
      </c>
      <c r="K90" s="27">
        <v>0.9355</v>
      </c>
      <c r="L90" s="28">
        <v>0.9194</v>
      </c>
      <c r="M90" s="70"/>
      <c r="N90" s="70"/>
      <c r="O90" s="70"/>
      <c r="Q90" s="30"/>
      <c r="R90" s="20" t="s">
        <v>40</v>
      </c>
      <c r="S90" s="21"/>
      <c r="T90" s="21"/>
      <c r="U90" s="22">
        <v>1500</v>
      </c>
      <c r="V90" s="22">
        <v>-3</v>
      </c>
      <c r="W90" s="22" t="b">
        <v>1</v>
      </c>
      <c r="X90" s="27">
        <v>0.81030000000000002</v>
      </c>
      <c r="Y90" s="27">
        <v>0.82989999999999997</v>
      </c>
      <c r="Z90" s="17">
        <v>1</v>
      </c>
      <c r="AA90" s="23">
        <v>1</v>
      </c>
      <c r="AB90" s="70"/>
      <c r="AC90" s="70"/>
      <c r="AD90" s="70"/>
    </row>
    <row r="91" spans="2:30" ht="15" customHeight="1" x14ac:dyDescent="0.2">
      <c r="B91" s="30"/>
      <c r="C91" s="20"/>
      <c r="D91" s="21"/>
      <c r="E91" s="21"/>
      <c r="F91" s="22"/>
      <c r="G91" s="22"/>
      <c r="H91" s="22"/>
      <c r="I91" s="27"/>
      <c r="J91" s="27"/>
      <c r="K91" s="27"/>
      <c r="L91" s="28"/>
      <c r="M91" s="70"/>
      <c r="N91" s="70"/>
      <c r="O91" s="70"/>
      <c r="Q91" s="30"/>
      <c r="R91" s="20"/>
      <c r="S91" s="21"/>
      <c r="T91" s="21"/>
      <c r="U91" s="22"/>
      <c r="V91" s="22"/>
      <c r="W91" s="22"/>
      <c r="X91" s="27"/>
      <c r="Y91" s="27"/>
      <c r="Z91" s="18"/>
      <c r="AA91" s="24"/>
      <c r="AB91" s="70"/>
      <c r="AC91" s="70"/>
      <c r="AD91" s="70"/>
    </row>
    <row r="92" spans="2:30" ht="15" customHeight="1" x14ac:dyDescent="0.2">
      <c r="B92" s="30"/>
      <c r="C92" s="20"/>
      <c r="D92" s="21"/>
      <c r="E92" s="21"/>
      <c r="F92" s="22"/>
      <c r="G92" s="22"/>
      <c r="H92" s="22"/>
      <c r="I92" s="27"/>
      <c r="J92" s="27"/>
      <c r="K92" s="27"/>
      <c r="L92" s="28"/>
      <c r="M92" s="70"/>
      <c r="N92" s="70"/>
      <c r="O92" s="70"/>
      <c r="Q92" s="30"/>
      <c r="R92" s="20"/>
      <c r="S92" s="21"/>
      <c r="T92" s="21"/>
      <c r="U92" s="22"/>
      <c r="V92" s="22"/>
      <c r="W92" s="22"/>
      <c r="X92" s="27"/>
      <c r="Y92" s="27"/>
      <c r="Z92" s="19"/>
      <c r="AA92" s="25"/>
      <c r="AB92" s="70"/>
      <c r="AC92" s="70"/>
      <c r="AD92" s="70"/>
    </row>
    <row r="93" spans="2:30" ht="15" customHeight="1" x14ac:dyDescent="0.2">
      <c r="B93" s="30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70"/>
      <c r="N93" s="70"/>
      <c r="O93" s="70"/>
      <c r="Q93" s="30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70"/>
      <c r="AC93" s="70"/>
      <c r="AD93" s="70"/>
    </row>
    <row r="94" spans="2:30" ht="15" customHeight="1" x14ac:dyDescent="0.2">
      <c r="B94" s="30"/>
      <c r="C94" s="20" t="s">
        <v>47</v>
      </c>
      <c r="D94" s="21"/>
      <c r="E94" s="21"/>
      <c r="F94" s="22">
        <v>1500</v>
      </c>
      <c r="G94" s="22">
        <v>-3</v>
      </c>
      <c r="H94" s="22" t="b">
        <v>1</v>
      </c>
      <c r="I94" s="27">
        <v>0.84279999999999999</v>
      </c>
      <c r="J94" s="22">
        <v>0.83240000000000003</v>
      </c>
      <c r="K94" s="22">
        <v>0.9032</v>
      </c>
      <c r="L94" s="55">
        <v>0.9194</v>
      </c>
      <c r="M94" s="70"/>
      <c r="N94" s="70"/>
      <c r="O94" s="70"/>
      <c r="Q94" s="30"/>
      <c r="R94" s="20" t="s">
        <v>46</v>
      </c>
      <c r="S94" s="21"/>
      <c r="T94" s="21"/>
      <c r="U94" s="22">
        <v>1500</v>
      </c>
      <c r="V94" s="22">
        <v>-3</v>
      </c>
      <c r="W94" s="22" t="b">
        <v>1</v>
      </c>
      <c r="X94" s="27">
        <v>0.8256</v>
      </c>
      <c r="Y94" s="27">
        <v>0.84670000000000001</v>
      </c>
      <c r="Z94" s="17">
        <v>1</v>
      </c>
      <c r="AA94" s="23">
        <v>1</v>
      </c>
      <c r="AB94" s="70"/>
      <c r="AC94" s="70"/>
      <c r="AD94" s="70"/>
    </row>
    <row r="95" spans="2:30" ht="15" customHeight="1" x14ac:dyDescent="0.2">
      <c r="B95" s="30"/>
      <c r="C95" s="20"/>
      <c r="D95" s="21"/>
      <c r="E95" s="21"/>
      <c r="F95" s="22"/>
      <c r="G95" s="22"/>
      <c r="H95" s="22"/>
      <c r="I95" s="27"/>
      <c r="J95" s="22"/>
      <c r="K95" s="22"/>
      <c r="L95" s="55"/>
      <c r="M95" s="70"/>
      <c r="N95" s="70"/>
      <c r="O95" s="70"/>
      <c r="Q95" s="30"/>
      <c r="R95" s="20"/>
      <c r="S95" s="21"/>
      <c r="T95" s="21"/>
      <c r="U95" s="22"/>
      <c r="V95" s="22"/>
      <c r="W95" s="22"/>
      <c r="X95" s="27"/>
      <c r="Y95" s="27"/>
      <c r="Z95" s="18"/>
      <c r="AA95" s="24"/>
      <c r="AB95" s="70"/>
      <c r="AC95" s="70"/>
      <c r="AD95" s="70"/>
    </row>
    <row r="96" spans="2:30" ht="15" customHeight="1" x14ac:dyDescent="0.2">
      <c r="B96" s="30"/>
      <c r="C96" s="20"/>
      <c r="D96" s="21"/>
      <c r="E96" s="21"/>
      <c r="F96" s="22"/>
      <c r="G96" s="22"/>
      <c r="H96" s="22"/>
      <c r="I96" s="27"/>
      <c r="J96" s="22"/>
      <c r="K96" s="22"/>
      <c r="L96" s="55"/>
      <c r="M96" s="70"/>
      <c r="N96" s="70"/>
      <c r="O96" s="70"/>
      <c r="Q96" s="30"/>
      <c r="R96" s="20"/>
      <c r="S96" s="21"/>
      <c r="T96" s="21"/>
      <c r="U96" s="22"/>
      <c r="V96" s="22"/>
      <c r="W96" s="22"/>
      <c r="X96" s="27"/>
      <c r="Y96" s="27"/>
      <c r="Z96" s="19"/>
      <c r="AA96" s="25"/>
      <c r="AB96" s="70"/>
      <c r="AC96" s="70"/>
      <c r="AD96" s="70"/>
    </row>
    <row r="97" spans="2:30" ht="15" customHeight="1" x14ac:dyDescent="0.2">
      <c r="B97" s="30"/>
      <c r="C97" s="20" t="s">
        <v>47</v>
      </c>
      <c r="D97" s="21"/>
      <c r="E97" s="21"/>
      <c r="F97" s="22">
        <v>1500</v>
      </c>
      <c r="G97" s="22">
        <v>-3</v>
      </c>
      <c r="H97" s="22" t="b">
        <v>1</v>
      </c>
      <c r="I97" s="22">
        <v>0.84130000000000005</v>
      </c>
      <c r="J97" s="22">
        <v>0.82789999999999997</v>
      </c>
      <c r="K97" s="22">
        <v>0.9032</v>
      </c>
      <c r="L97" s="55">
        <v>0.9194</v>
      </c>
      <c r="M97" s="70"/>
      <c r="N97" s="70"/>
      <c r="O97" s="70"/>
      <c r="Q97" s="30"/>
      <c r="R97" s="20" t="s">
        <v>46</v>
      </c>
      <c r="S97" s="21"/>
      <c r="T97" s="21"/>
      <c r="U97" s="22">
        <v>1500</v>
      </c>
      <c r="V97" s="22">
        <v>-3</v>
      </c>
      <c r="W97" s="22" t="b">
        <v>1</v>
      </c>
      <c r="X97" s="27">
        <v>0.82420000000000004</v>
      </c>
      <c r="Y97" s="27">
        <v>0.82169999999999999</v>
      </c>
      <c r="Z97" s="17">
        <v>1</v>
      </c>
      <c r="AA97" s="23">
        <v>0.83330000000000004</v>
      </c>
      <c r="AB97" s="70"/>
      <c r="AC97" s="70"/>
      <c r="AD97" s="70"/>
    </row>
    <row r="98" spans="2:30" ht="15" customHeight="1" x14ac:dyDescent="0.2">
      <c r="B98" s="30"/>
      <c r="C98" s="20"/>
      <c r="D98" s="21"/>
      <c r="E98" s="21"/>
      <c r="F98" s="22"/>
      <c r="G98" s="22"/>
      <c r="H98" s="22"/>
      <c r="I98" s="22"/>
      <c r="J98" s="22"/>
      <c r="K98" s="22"/>
      <c r="L98" s="55"/>
      <c r="M98" s="70"/>
      <c r="N98" s="70"/>
      <c r="O98" s="70"/>
      <c r="Q98" s="30"/>
      <c r="R98" s="20"/>
      <c r="S98" s="21"/>
      <c r="T98" s="21"/>
      <c r="U98" s="22"/>
      <c r="V98" s="22"/>
      <c r="W98" s="22"/>
      <c r="X98" s="27"/>
      <c r="Y98" s="27"/>
      <c r="Z98" s="18"/>
      <c r="AA98" s="24"/>
      <c r="AB98" s="70"/>
      <c r="AC98" s="70"/>
      <c r="AD98" s="70"/>
    </row>
    <row r="99" spans="2:30" ht="15" customHeight="1" x14ac:dyDescent="0.2">
      <c r="B99" s="30"/>
      <c r="C99" s="20"/>
      <c r="D99" s="21"/>
      <c r="E99" s="21"/>
      <c r="F99" s="22"/>
      <c r="G99" s="22"/>
      <c r="H99" s="22"/>
      <c r="I99" s="22"/>
      <c r="J99" s="22"/>
      <c r="K99" s="22"/>
      <c r="L99" s="55"/>
      <c r="M99" s="70"/>
      <c r="N99" s="70"/>
      <c r="O99" s="70"/>
      <c r="Q99" s="30"/>
      <c r="R99" s="20"/>
      <c r="S99" s="21"/>
      <c r="T99" s="21"/>
      <c r="U99" s="22"/>
      <c r="V99" s="22"/>
      <c r="W99" s="22"/>
      <c r="X99" s="27"/>
      <c r="Y99" s="27"/>
      <c r="Z99" s="19"/>
      <c r="AA99" s="25"/>
      <c r="AB99" s="70"/>
      <c r="AC99" s="70"/>
      <c r="AD99" s="70"/>
    </row>
    <row r="100" spans="2:30" ht="15" customHeight="1" x14ac:dyDescent="0.2">
      <c r="B100" s="30"/>
      <c r="C100" s="20" t="s">
        <v>47</v>
      </c>
      <c r="D100" s="21"/>
      <c r="E100" s="21"/>
      <c r="F100" s="22">
        <v>1500</v>
      </c>
      <c r="G100" s="22">
        <v>-3</v>
      </c>
      <c r="H100" s="22" t="b">
        <v>1</v>
      </c>
      <c r="I100" s="22">
        <v>0.83989999999999998</v>
      </c>
      <c r="J100" s="22">
        <v>0.82920000000000005</v>
      </c>
      <c r="K100" s="22">
        <v>0.9355</v>
      </c>
      <c r="L100" s="55">
        <v>0.9032</v>
      </c>
      <c r="M100" s="70"/>
      <c r="N100" s="70"/>
      <c r="O100" s="70"/>
      <c r="Q100" s="30"/>
      <c r="R100" s="20" t="s">
        <v>46</v>
      </c>
      <c r="S100" s="21"/>
      <c r="T100" s="21"/>
      <c r="U100" s="22">
        <v>1500</v>
      </c>
      <c r="V100" s="22">
        <v>-3</v>
      </c>
      <c r="W100" s="22" t="b">
        <v>1</v>
      </c>
      <c r="X100" s="27">
        <v>0.82769999999999999</v>
      </c>
      <c r="Y100" s="27">
        <v>0.8548</v>
      </c>
      <c r="Z100" s="17">
        <v>1</v>
      </c>
      <c r="AA100" s="23">
        <v>1</v>
      </c>
      <c r="AB100" s="70"/>
      <c r="AC100" s="70"/>
      <c r="AD100" s="70"/>
    </row>
    <row r="101" spans="2:30" ht="15" customHeight="1" x14ac:dyDescent="0.2">
      <c r="B101" s="30"/>
      <c r="C101" s="20"/>
      <c r="D101" s="21"/>
      <c r="E101" s="21"/>
      <c r="F101" s="22"/>
      <c r="G101" s="22"/>
      <c r="H101" s="22"/>
      <c r="I101" s="22"/>
      <c r="J101" s="22"/>
      <c r="K101" s="22"/>
      <c r="L101" s="55"/>
      <c r="M101" s="70"/>
      <c r="N101" s="70"/>
      <c r="O101" s="70"/>
      <c r="Q101" s="30"/>
      <c r="R101" s="20"/>
      <c r="S101" s="21"/>
      <c r="T101" s="21"/>
      <c r="U101" s="22"/>
      <c r="V101" s="22"/>
      <c r="W101" s="22"/>
      <c r="X101" s="27"/>
      <c r="Y101" s="27"/>
      <c r="Z101" s="18"/>
      <c r="AA101" s="24"/>
      <c r="AB101" s="70"/>
      <c r="AC101" s="70"/>
      <c r="AD101" s="70"/>
    </row>
    <row r="102" spans="2:30" ht="15" customHeight="1" x14ac:dyDescent="0.2">
      <c r="B102" s="30"/>
      <c r="C102" s="20"/>
      <c r="D102" s="21"/>
      <c r="E102" s="21"/>
      <c r="F102" s="22"/>
      <c r="G102" s="22"/>
      <c r="H102" s="22"/>
      <c r="I102" s="22"/>
      <c r="J102" s="22"/>
      <c r="K102" s="22"/>
      <c r="L102" s="55"/>
      <c r="M102" s="70"/>
      <c r="N102" s="70"/>
      <c r="O102" s="70"/>
      <c r="Q102" s="30"/>
      <c r="R102" s="20"/>
      <c r="S102" s="21"/>
      <c r="T102" s="21"/>
      <c r="U102" s="22"/>
      <c r="V102" s="22"/>
      <c r="W102" s="22"/>
      <c r="X102" s="27"/>
      <c r="Y102" s="27"/>
      <c r="Z102" s="19"/>
      <c r="AA102" s="25"/>
      <c r="AB102" s="70"/>
      <c r="AC102" s="70"/>
      <c r="AD102" s="70"/>
    </row>
    <row r="103" spans="2:30" ht="15" customHeight="1" x14ac:dyDescent="0.2">
      <c r="B103" s="30"/>
      <c r="C103" s="20" t="s">
        <v>47</v>
      </c>
      <c r="D103" s="21"/>
      <c r="E103" s="21"/>
      <c r="F103" s="22">
        <v>1500</v>
      </c>
      <c r="G103" s="22">
        <v>-3</v>
      </c>
      <c r="H103" s="22" t="b">
        <v>1</v>
      </c>
      <c r="I103" s="22">
        <v>0.83779999999999999</v>
      </c>
      <c r="J103" s="22">
        <v>0.82969999999999999</v>
      </c>
      <c r="K103" s="22">
        <v>0.9032</v>
      </c>
      <c r="L103" s="55">
        <v>0.9194</v>
      </c>
      <c r="M103" s="70"/>
      <c r="N103" s="70"/>
      <c r="O103" s="70"/>
      <c r="Q103" s="30"/>
      <c r="R103" s="20" t="s">
        <v>46</v>
      </c>
      <c r="S103" s="21"/>
      <c r="T103" s="21"/>
      <c r="U103" s="22">
        <v>1500</v>
      </c>
      <c r="V103" s="22">
        <v>-3</v>
      </c>
      <c r="W103" s="22" t="b">
        <v>1</v>
      </c>
      <c r="X103" s="27">
        <v>0.82589999999999997</v>
      </c>
      <c r="Y103" s="27">
        <v>0.82820000000000005</v>
      </c>
      <c r="Z103" s="17">
        <v>1</v>
      </c>
      <c r="AA103" s="23">
        <v>0.91669999999999996</v>
      </c>
      <c r="AB103" s="70"/>
      <c r="AC103" s="70"/>
      <c r="AD103" s="70"/>
    </row>
    <row r="104" spans="2:30" ht="15" customHeight="1" x14ac:dyDescent="0.2">
      <c r="B104" s="30"/>
      <c r="C104" s="20"/>
      <c r="D104" s="21"/>
      <c r="E104" s="21"/>
      <c r="F104" s="22"/>
      <c r="G104" s="22"/>
      <c r="H104" s="22"/>
      <c r="I104" s="22"/>
      <c r="J104" s="22"/>
      <c r="K104" s="22"/>
      <c r="L104" s="55"/>
      <c r="M104" s="70"/>
      <c r="N104" s="70"/>
      <c r="O104" s="70"/>
      <c r="Q104" s="30"/>
      <c r="R104" s="20"/>
      <c r="S104" s="21"/>
      <c r="T104" s="21"/>
      <c r="U104" s="22"/>
      <c r="V104" s="22"/>
      <c r="W104" s="22"/>
      <c r="X104" s="27"/>
      <c r="Y104" s="27"/>
      <c r="Z104" s="18"/>
      <c r="AA104" s="24"/>
      <c r="AB104" s="70"/>
      <c r="AC104" s="70"/>
      <c r="AD104" s="70"/>
    </row>
    <row r="105" spans="2:30" ht="15" customHeight="1" x14ac:dyDescent="0.2">
      <c r="B105" s="30"/>
      <c r="C105" s="20"/>
      <c r="D105" s="21"/>
      <c r="E105" s="21"/>
      <c r="F105" s="22"/>
      <c r="G105" s="22"/>
      <c r="H105" s="22"/>
      <c r="I105" s="22"/>
      <c r="J105" s="22"/>
      <c r="K105" s="22"/>
      <c r="L105" s="55"/>
      <c r="M105" s="70"/>
      <c r="N105" s="70"/>
      <c r="O105" s="70"/>
      <c r="Q105" s="30"/>
      <c r="R105" s="20"/>
      <c r="S105" s="21"/>
      <c r="T105" s="21"/>
      <c r="U105" s="22"/>
      <c r="V105" s="22"/>
      <c r="W105" s="22"/>
      <c r="X105" s="27"/>
      <c r="Y105" s="27"/>
      <c r="Z105" s="19"/>
      <c r="AA105" s="25"/>
      <c r="AB105" s="70"/>
      <c r="AC105" s="70"/>
      <c r="AD105" s="70"/>
    </row>
    <row r="106" spans="2:30" ht="15" customHeight="1" x14ac:dyDescent="0.2">
      <c r="B106" s="30"/>
      <c r="C106" s="22" t="s">
        <v>23</v>
      </c>
      <c r="D106" s="22"/>
      <c r="E106" s="22"/>
      <c r="F106" s="22"/>
      <c r="G106" s="22"/>
      <c r="H106" s="22"/>
      <c r="I106" s="26">
        <f>AVERAGE(I94:I105)</f>
        <v>0.84045000000000003</v>
      </c>
      <c r="J106" s="26">
        <f>AVERAGE(J94:J105)</f>
        <v>0.82979999999999998</v>
      </c>
      <c r="K106" s="26">
        <f>AVERAGE(K94:K105)</f>
        <v>0.91127500000000006</v>
      </c>
      <c r="L106" s="26">
        <f>AVERAGE(L94:L105)</f>
        <v>0.91535</v>
      </c>
      <c r="M106" s="70"/>
      <c r="N106" s="70"/>
      <c r="O106" s="70"/>
      <c r="Q106" s="30"/>
      <c r="R106" s="56" t="s">
        <v>23</v>
      </c>
      <c r="S106" s="22"/>
      <c r="T106" s="22"/>
      <c r="U106" s="22"/>
      <c r="V106" s="22"/>
      <c r="W106" s="22"/>
      <c r="X106" s="26">
        <f>AVERAGE(X94:X105)</f>
        <v>0.82584999999999997</v>
      </c>
      <c r="Y106" s="26">
        <f>AVERAGE(Y94:Y105)</f>
        <v>0.83784999999999998</v>
      </c>
      <c r="Z106" s="26">
        <f>AVERAGE(Z94:Z105)</f>
        <v>1</v>
      </c>
      <c r="AA106" s="72">
        <f>AVERAGE(AA94:AA105)</f>
        <v>0.9375</v>
      </c>
      <c r="AB106" s="70"/>
      <c r="AC106" s="70"/>
      <c r="AD106" s="70"/>
    </row>
    <row r="107" spans="2:30" ht="15" customHeight="1" x14ac:dyDescent="0.2">
      <c r="B107" s="31"/>
      <c r="C107" s="22"/>
      <c r="D107" s="22"/>
      <c r="E107" s="22"/>
      <c r="F107" s="22"/>
      <c r="G107" s="22"/>
      <c r="H107" s="22"/>
      <c r="I107" s="26"/>
      <c r="J107" s="26"/>
      <c r="K107" s="26"/>
      <c r="L107" s="26"/>
      <c r="M107" s="70"/>
      <c r="N107" s="70"/>
      <c r="O107" s="70"/>
      <c r="Q107" s="31"/>
      <c r="R107" s="56"/>
      <c r="S107" s="22"/>
      <c r="T107" s="22"/>
      <c r="U107" s="22"/>
      <c r="V107" s="22"/>
      <c r="W107" s="22"/>
      <c r="X107" s="26"/>
      <c r="Y107" s="26"/>
      <c r="Z107" s="26"/>
      <c r="AA107" s="72"/>
      <c r="AB107" s="70"/>
      <c r="AC107" s="70"/>
      <c r="AD107" s="70"/>
    </row>
    <row r="108" spans="2:30" ht="15" customHeight="1" x14ac:dyDescent="0.2"/>
    <row r="109" spans="2:30" ht="15" customHeight="1" x14ac:dyDescent="0.2"/>
    <row r="110" spans="2:30" ht="15" customHeight="1" x14ac:dyDescent="0.2"/>
  </sheetData>
  <mergeCells count="486">
    <mergeCell ref="X103:X105"/>
    <mergeCell ref="Y103:Y105"/>
    <mergeCell ref="Z103:Z105"/>
    <mergeCell ref="AA103:AA105"/>
    <mergeCell ref="R93:AA93"/>
    <mergeCell ref="R106:W107"/>
    <mergeCell ref="X106:X107"/>
    <mergeCell ref="Y106:Y107"/>
    <mergeCell ref="Z106:Z107"/>
    <mergeCell ref="AA106:AA107"/>
    <mergeCell ref="V97:V99"/>
    <mergeCell ref="W97:W99"/>
    <mergeCell ref="X97:X99"/>
    <mergeCell ref="Y97:Y99"/>
    <mergeCell ref="Z97:Z99"/>
    <mergeCell ref="AA97:AA99"/>
    <mergeCell ref="R100:T102"/>
    <mergeCell ref="U100:U102"/>
    <mergeCell ref="V100:V102"/>
    <mergeCell ref="W100:W102"/>
    <mergeCell ref="X100:X102"/>
    <mergeCell ref="Y100:Y102"/>
    <mergeCell ref="Z100:Z102"/>
    <mergeCell ref="AA100:AA102"/>
    <mergeCell ref="R67:W67"/>
    <mergeCell ref="Q6:Q31"/>
    <mergeCell ref="Q55:Q107"/>
    <mergeCell ref="C93:L93"/>
    <mergeCell ref="C94:E96"/>
    <mergeCell ref="C97:E99"/>
    <mergeCell ref="C100:E102"/>
    <mergeCell ref="C103:E105"/>
    <mergeCell ref="K84:K86"/>
    <mergeCell ref="L84:L86"/>
    <mergeCell ref="I87:I89"/>
    <mergeCell ref="J87:J89"/>
    <mergeCell ref="K87:K89"/>
    <mergeCell ref="L87:L89"/>
    <mergeCell ref="I90:I92"/>
    <mergeCell ref="J90:J92"/>
    <mergeCell ref="K90:K92"/>
    <mergeCell ref="C87:E89"/>
    <mergeCell ref="C90:E92"/>
    <mergeCell ref="F81:F83"/>
    <mergeCell ref="F87:F89"/>
    <mergeCell ref="F90:F92"/>
    <mergeCell ref="G81:G83"/>
    <mergeCell ref="G84:G86"/>
    <mergeCell ref="C77:E79"/>
    <mergeCell ref="F77:F79"/>
    <mergeCell ref="G77:G79"/>
    <mergeCell ref="H77:H79"/>
    <mergeCell ref="AB6:AD31"/>
    <mergeCell ref="R94:T96"/>
    <mergeCell ref="U94:U96"/>
    <mergeCell ref="V94:V96"/>
    <mergeCell ref="W94:W96"/>
    <mergeCell ref="X94:X96"/>
    <mergeCell ref="Y94:Y96"/>
    <mergeCell ref="Z94:Z96"/>
    <mergeCell ref="AA94:AA96"/>
    <mergeCell ref="AB55:AD107"/>
    <mergeCell ref="X26:X28"/>
    <mergeCell ref="Y26:Y28"/>
    <mergeCell ref="Z26:Z28"/>
    <mergeCell ref="AA26:AA28"/>
    <mergeCell ref="X29:X31"/>
    <mergeCell ref="Y29:Y31"/>
    <mergeCell ref="Z29:Z31"/>
    <mergeCell ref="AA29:AA31"/>
    <mergeCell ref="Y90:Y92"/>
    <mergeCell ref="Z90:Z92"/>
    <mergeCell ref="I77:I79"/>
    <mergeCell ref="J77:J79"/>
    <mergeCell ref="I84:I86"/>
    <mergeCell ref="J84:J86"/>
    <mergeCell ref="C84:E86"/>
    <mergeCell ref="F84:F86"/>
    <mergeCell ref="F97:F99"/>
    <mergeCell ref="F100:F102"/>
    <mergeCell ref="F103:F105"/>
    <mergeCell ref="G94:G96"/>
    <mergeCell ref="G97:G99"/>
    <mergeCell ref="G100:G102"/>
    <mergeCell ref="G103:G105"/>
    <mergeCell ref="H94:H96"/>
    <mergeCell ref="H97:H99"/>
    <mergeCell ref="H100:H102"/>
    <mergeCell ref="H103:H105"/>
    <mergeCell ref="F94:F96"/>
    <mergeCell ref="G87:G89"/>
    <mergeCell ref="G90:G92"/>
    <mergeCell ref="C81:E83"/>
    <mergeCell ref="H81:H83"/>
    <mergeCell ref="H84:H86"/>
    <mergeCell ref="C80:H80"/>
    <mergeCell ref="R29:T31"/>
    <mergeCell ref="U20:U22"/>
    <mergeCell ref="U23:U25"/>
    <mergeCell ref="U26:U28"/>
    <mergeCell ref="U29:U31"/>
    <mergeCell ref="V20:V22"/>
    <mergeCell ref="V23:V25"/>
    <mergeCell ref="V26:V28"/>
    <mergeCell ref="V29:V31"/>
    <mergeCell ref="R20:T22"/>
    <mergeCell ref="R23:T25"/>
    <mergeCell ref="R26:T28"/>
    <mergeCell ref="W20:W22"/>
    <mergeCell ref="W23:W25"/>
    <mergeCell ref="W26:W28"/>
    <mergeCell ref="W29:W31"/>
    <mergeCell ref="X20:X22"/>
    <mergeCell ref="Y20:Y22"/>
    <mergeCell ref="Z20:Z22"/>
    <mergeCell ref="AA20:AA22"/>
    <mergeCell ref="X23:X25"/>
    <mergeCell ref="Y23:Y25"/>
    <mergeCell ref="Z23:Z25"/>
    <mergeCell ref="AA23:AA25"/>
    <mergeCell ref="X81:X83"/>
    <mergeCell ref="X90:X92"/>
    <mergeCell ref="Y81:Y83"/>
    <mergeCell ref="Z81:Z83"/>
    <mergeCell ref="AA81:AA83"/>
    <mergeCell ref="X84:X86"/>
    <mergeCell ref="Y84:Y86"/>
    <mergeCell ref="Z84:Z86"/>
    <mergeCell ref="AA84:AA86"/>
    <mergeCell ref="X87:X89"/>
    <mergeCell ref="Y87:Y89"/>
    <mergeCell ref="Z87:Z89"/>
    <mergeCell ref="AA87:AA89"/>
    <mergeCell ref="AA90:AA92"/>
    <mergeCell ref="L90:L92"/>
    <mergeCell ref="L106:L107"/>
    <mergeCell ref="R80:W80"/>
    <mergeCell ref="R81:T83"/>
    <mergeCell ref="R84:T86"/>
    <mergeCell ref="R87:T89"/>
    <mergeCell ref="R90:T92"/>
    <mergeCell ref="U81:U83"/>
    <mergeCell ref="U84:U86"/>
    <mergeCell ref="U87:U89"/>
    <mergeCell ref="U90:U92"/>
    <mergeCell ref="R97:T99"/>
    <mergeCell ref="U97:U99"/>
    <mergeCell ref="V81:V83"/>
    <mergeCell ref="V84:V86"/>
    <mergeCell ref="V87:V89"/>
    <mergeCell ref="V90:V92"/>
    <mergeCell ref="W81:W83"/>
    <mergeCell ref="W84:W86"/>
    <mergeCell ref="W87:W89"/>
    <mergeCell ref="W90:W92"/>
    <mergeCell ref="V103:V105"/>
    <mergeCell ref="W103:W105"/>
    <mergeCell ref="R103:T105"/>
    <mergeCell ref="U103:U105"/>
    <mergeCell ref="I94:I96"/>
    <mergeCell ref="J94:J96"/>
    <mergeCell ref="K94:K96"/>
    <mergeCell ref="L94:L96"/>
    <mergeCell ref="I97:I99"/>
    <mergeCell ref="J97:J99"/>
    <mergeCell ref="K97:K99"/>
    <mergeCell ref="L97:L99"/>
    <mergeCell ref="I100:I102"/>
    <mergeCell ref="J100:J102"/>
    <mergeCell ref="K100:K102"/>
    <mergeCell ref="L100:L102"/>
    <mergeCell ref="I103:I105"/>
    <mergeCell ref="J103:J105"/>
    <mergeCell ref="K103:K105"/>
    <mergeCell ref="L103:L105"/>
    <mergeCell ref="M55:O107"/>
    <mergeCell ref="K77:K79"/>
    <mergeCell ref="L77:L79"/>
    <mergeCell ref="R77:T79"/>
    <mergeCell ref="U61:U63"/>
    <mergeCell ref="U77:U79"/>
    <mergeCell ref="K55:K57"/>
    <mergeCell ref="X18:X19"/>
    <mergeCell ref="Y18:Y19"/>
    <mergeCell ref="Z18:Z19"/>
    <mergeCell ref="AA18:AA19"/>
    <mergeCell ref="R9:T11"/>
    <mergeCell ref="U9:U11"/>
    <mergeCell ref="V9:V11"/>
    <mergeCell ref="W9:W11"/>
    <mergeCell ref="X9:X11"/>
    <mergeCell ref="Y9:Y11"/>
    <mergeCell ref="Z9:Z11"/>
    <mergeCell ref="AA9:AA11"/>
    <mergeCell ref="R12:T14"/>
    <mergeCell ref="U12:U14"/>
    <mergeCell ref="V12:V14"/>
    <mergeCell ref="W12:W14"/>
    <mergeCell ref="X12:X14"/>
    <mergeCell ref="Y12:Y14"/>
    <mergeCell ref="AA15:AA17"/>
    <mergeCell ref="U15:U17"/>
    <mergeCell ref="V15:V17"/>
    <mergeCell ref="W15:W17"/>
    <mergeCell ref="X15:X17"/>
    <mergeCell ref="Y15:Y17"/>
    <mergeCell ref="Z15:Z17"/>
    <mergeCell ref="R74:T76"/>
    <mergeCell ref="U74:U76"/>
    <mergeCell ref="V74:V76"/>
    <mergeCell ref="W74:W76"/>
    <mergeCell ref="X74:X76"/>
    <mergeCell ref="Y74:Y76"/>
    <mergeCell ref="Z74:Z76"/>
    <mergeCell ref="R64:T66"/>
    <mergeCell ref="U64:U66"/>
    <mergeCell ref="V64:V66"/>
    <mergeCell ref="W64:W66"/>
    <mergeCell ref="X64:X66"/>
    <mergeCell ref="Y64:Y66"/>
    <mergeCell ref="Z64:Z66"/>
    <mergeCell ref="R53:W53"/>
    <mergeCell ref="X53:AA53"/>
    <mergeCell ref="Q51:AD52"/>
    <mergeCell ref="R18:W19"/>
    <mergeCell ref="AA74:AA76"/>
    <mergeCell ref="AA64:AA66"/>
    <mergeCell ref="Z58:Z60"/>
    <mergeCell ref="AA58:AA60"/>
    <mergeCell ref="R61:T63"/>
    <mergeCell ref="Z12:Z14"/>
    <mergeCell ref="AA12:AA14"/>
    <mergeCell ref="B2:O3"/>
    <mergeCell ref="Q2:AD3"/>
    <mergeCell ref="Q4:Q5"/>
    <mergeCell ref="R4:W4"/>
    <mergeCell ref="X4:AA4"/>
    <mergeCell ref="AB4:AD5"/>
    <mergeCell ref="R5:T5"/>
    <mergeCell ref="R6:T8"/>
    <mergeCell ref="U6:U8"/>
    <mergeCell ref="V6:V8"/>
    <mergeCell ref="W6:W8"/>
    <mergeCell ref="X6:X8"/>
    <mergeCell ref="Y6:Y8"/>
    <mergeCell ref="Z6:Z8"/>
    <mergeCell ref="AA6:AA8"/>
    <mergeCell ref="B4:B5"/>
    <mergeCell ref="C9:E11"/>
    <mergeCell ref="F9:F11"/>
    <mergeCell ref="G9:G11"/>
    <mergeCell ref="B6:B48"/>
    <mergeCell ref="C12:E14"/>
    <mergeCell ref="R15:T17"/>
    <mergeCell ref="M4:O5"/>
    <mergeCell ref="B51:O52"/>
    <mergeCell ref="V77:V79"/>
    <mergeCell ref="W77:W79"/>
    <mergeCell ref="X77:X79"/>
    <mergeCell ref="Y77:Y79"/>
    <mergeCell ref="Z77:Z79"/>
    <mergeCell ref="AA77:AA79"/>
    <mergeCell ref="R68:T70"/>
    <mergeCell ref="U68:U70"/>
    <mergeCell ref="V68:V70"/>
    <mergeCell ref="W68:W70"/>
    <mergeCell ref="X68:X70"/>
    <mergeCell ref="Y68:Y70"/>
    <mergeCell ref="Z68:Z70"/>
    <mergeCell ref="AA68:AA70"/>
    <mergeCell ref="R71:T73"/>
    <mergeCell ref="U71:U73"/>
    <mergeCell ref="V71:V73"/>
    <mergeCell ref="W71:W73"/>
    <mergeCell ref="X71:X73"/>
    <mergeCell ref="Y71:Y73"/>
    <mergeCell ref="Z71:Z73"/>
    <mergeCell ref="AA71:AA73"/>
    <mergeCell ref="V61:V63"/>
    <mergeCell ref="W61:W63"/>
    <mergeCell ref="X61:X63"/>
    <mergeCell ref="Y61:Y63"/>
    <mergeCell ref="Z61:Z63"/>
    <mergeCell ref="AA61:AA63"/>
    <mergeCell ref="R58:T60"/>
    <mergeCell ref="U58:U60"/>
    <mergeCell ref="V58:V60"/>
    <mergeCell ref="W58:W60"/>
    <mergeCell ref="X58:X60"/>
    <mergeCell ref="Y58:Y60"/>
    <mergeCell ref="AB53:AD54"/>
    <mergeCell ref="R54:T54"/>
    <mergeCell ref="R55:T57"/>
    <mergeCell ref="U55:U57"/>
    <mergeCell ref="V55:V57"/>
    <mergeCell ref="W55:W57"/>
    <mergeCell ref="X55:X57"/>
    <mergeCell ref="Y55:Y57"/>
    <mergeCell ref="Z55:Z57"/>
    <mergeCell ref="AA55:AA57"/>
    <mergeCell ref="Q53:Q54"/>
    <mergeCell ref="C67:H67"/>
    <mergeCell ref="C68:E70"/>
    <mergeCell ref="F68:F70"/>
    <mergeCell ref="G68:G70"/>
    <mergeCell ref="H68:H70"/>
    <mergeCell ref="I68:I70"/>
    <mergeCell ref="J68:J70"/>
    <mergeCell ref="K68:K70"/>
    <mergeCell ref="L68:L70"/>
    <mergeCell ref="C64:E66"/>
    <mergeCell ref="F64:F66"/>
    <mergeCell ref="G64:G66"/>
    <mergeCell ref="H64:H66"/>
    <mergeCell ref="I64:I66"/>
    <mergeCell ref="J64:J66"/>
    <mergeCell ref="K64:K66"/>
    <mergeCell ref="L64:L66"/>
    <mergeCell ref="C55:E57"/>
    <mergeCell ref="F55:F57"/>
    <mergeCell ref="G55:G57"/>
    <mergeCell ref="H55:H57"/>
    <mergeCell ref="I55:I57"/>
    <mergeCell ref="J55:J57"/>
    <mergeCell ref="C71:E73"/>
    <mergeCell ref="F71:F73"/>
    <mergeCell ref="G71:G73"/>
    <mergeCell ref="H71:H73"/>
    <mergeCell ref="I71:I73"/>
    <mergeCell ref="J71:J73"/>
    <mergeCell ref="K71:K73"/>
    <mergeCell ref="L71:L73"/>
    <mergeCell ref="C74:E76"/>
    <mergeCell ref="F74:F76"/>
    <mergeCell ref="G74:G76"/>
    <mergeCell ref="H74:H76"/>
    <mergeCell ref="I74:I76"/>
    <mergeCell ref="J74:J76"/>
    <mergeCell ref="K74:K76"/>
    <mergeCell ref="L74:L76"/>
    <mergeCell ref="B53:B54"/>
    <mergeCell ref="C53:H53"/>
    <mergeCell ref="I53:L53"/>
    <mergeCell ref="M53:O54"/>
    <mergeCell ref="C54:E54"/>
    <mergeCell ref="C61:E63"/>
    <mergeCell ref="F61:F63"/>
    <mergeCell ref="G61:G63"/>
    <mergeCell ref="H61:H63"/>
    <mergeCell ref="I61:I63"/>
    <mergeCell ref="J61:J63"/>
    <mergeCell ref="K61:K63"/>
    <mergeCell ref="L61:L63"/>
    <mergeCell ref="B55:B107"/>
    <mergeCell ref="H87:H89"/>
    <mergeCell ref="H90:H92"/>
    <mergeCell ref="I81:I83"/>
    <mergeCell ref="J81:J83"/>
    <mergeCell ref="K81:K83"/>
    <mergeCell ref="L81:L83"/>
    <mergeCell ref="C106:H107"/>
    <mergeCell ref="I106:I107"/>
    <mergeCell ref="J106:J107"/>
    <mergeCell ref="K106:K107"/>
    <mergeCell ref="L55:L57"/>
    <mergeCell ref="C58:E60"/>
    <mergeCell ref="F58:F60"/>
    <mergeCell ref="G58:G60"/>
    <mergeCell ref="H58:H60"/>
    <mergeCell ref="I58:I60"/>
    <mergeCell ref="J58:J60"/>
    <mergeCell ref="K58:K60"/>
    <mergeCell ref="L58:L60"/>
    <mergeCell ref="M6:O48"/>
    <mergeCell ref="C15:E17"/>
    <mergeCell ref="F15:F17"/>
    <mergeCell ref="G15:G17"/>
    <mergeCell ref="H15:H17"/>
    <mergeCell ref="I15:I17"/>
    <mergeCell ref="J15:J17"/>
    <mergeCell ref="I9:I11"/>
    <mergeCell ref="J9:J11"/>
    <mergeCell ref="F12:F14"/>
    <mergeCell ref="G12:G14"/>
    <mergeCell ref="H12:H14"/>
    <mergeCell ref="I12:I14"/>
    <mergeCell ref="J12:J14"/>
    <mergeCell ref="J18:J20"/>
    <mergeCell ref="K18:K20"/>
    <mergeCell ref="L18:L20"/>
    <mergeCell ref="K9:K11"/>
    <mergeCell ref="L9:L11"/>
    <mergeCell ref="H9:H11"/>
    <mergeCell ref="C6:E8"/>
    <mergeCell ref="F6:F8"/>
    <mergeCell ref="G6:G8"/>
    <mergeCell ref="H6:H8"/>
    <mergeCell ref="C18:E20"/>
    <mergeCell ref="F18:F20"/>
    <mergeCell ref="G18:G20"/>
    <mergeCell ref="H18:H20"/>
    <mergeCell ref="I18:I20"/>
    <mergeCell ref="K15:K17"/>
    <mergeCell ref="L15:L17"/>
    <mergeCell ref="C4:H4"/>
    <mergeCell ref="I4:L4"/>
    <mergeCell ref="K12:K14"/>
    <mergeCell ref="L12:L14"/>
    <mergeCell ref="C5:E5"/>
    <mergeCell ref="I6:I8"/>
    <mergeCell ref="J6:J8"/>
    <mergeCell ref="K6:K8"/>
    <mergeCell ref="L6:L8"/>
    <mergeCell ref="C21:E23"/>
    <mergeCell ref="F21:F23"/>
    <mergeCell ref="G21:G23"/>
    <mergeCell ref="H21:H23"/>
    <mergeCell ref="I21:I23"/>
    <mergeCell ref="C24:L24"/>
    <mergeCell ref="J21:J23"/>
    <mergeCell ref="K21:K23"/>
    <mergeCell ref="L21:L23"/>
    <mergeCell ref="J31:J33"/>
    <mergeCell ref="K31:K33"/>
    <mergeCell ref="L31:L33"/>
    <mergeCell ref="C28:E30"/>
    <mergeCell ref="F28:F30"/>
    <mergeCell ref="G28:G30"/>
    <mergeCell ref="H28:H30"/>
    <mergeCell ref="C25:E27"/>
    <mergeCell ref="F25:F27"/>
    <mergeCell ref="G25:G27"/>
    <mergeCell ref="H25:H27"/>
    <mergeCell ref="I25:I27"/>
    <mergeCell ref="I28:I30"/>
    <mergeCell ref="J28:J30"/>
    <mergeCell ref="K28:K30"/>
    <mergeCell ref="L28:L30"/>
    <mergeCell ref="C37:E39"/>
    <mergeCell ref="F37:F39"/>
    <mergeCell ref="G37:G39"/>
    <mergeCell ref="H37:H39"/>
    <mergeCell ref="I37:I39"/>
    <mergeCell ref="J37:J39"/>
    <mergeCell ref="K37:K39"/>
    <mergeCell ref="L37:L39"/>
    <mergeCell ref="J25:J27"/>
    <mergeCell ref="K25:K27"/>
    <mergeCell ref="L25:L27"/>
    <mergeCell ref="C34:E36"/>
    <mergeCell ref="F34:F36"/>
    <mergeCell ref="G34:G36"/>
    <mergeCell ref="H34:H36"/>
    <mergeCell ref="I34:I36"/>
    <mergeCell ref="J34:J36"/>
    <mergeCell ref="K34:K36"/>
    <mergeCell ref="L34:L36"/>
    <mergeCell ref="C31:E33"/>
    <mergeCell ref="F31:F33"/>
    <mergeCell ref="G31:G33"/>
    <mergeCell ref="H31:H33"/>
    <mergeCell ref="I31:I33"/>
    <mergeCell ref="J46:J48"/>
    <mergeCell ref="K46:K48"/>
    <mergeCell ref="C46:E48"/>
    <mergeCell ref="F46:F48"/>
    <mergeCell ref="G46:G48"/>
    <mergeCell ref="H46:H48"/>
    <mergeCell ref="I46:I48"/>
    <mergeCell ref="L46:L48"/>
    <mergeCell ref="J40:J42"/>
    <mergeCell ref="K40:K42"/>
    <mergeCell ref="L40:L42"/>
    <mergeCell ref="C43:E45"/>
    <mergeCell ref="F43:F45"/>
    <mergeCell ref="G43:G45"/>
    <mergeCell ref="H43:H45"/>
    <mergeCell ref="I43:I45"/>
    <mergeCell ref="J43:J45"/>
    <mergeCell ref="K43:K45"/>
    <mergeCell ref="L43:L45"/>
    <mergeCell ref="C40:E42"/>
    <mergeCell ref="F40:F42"/>
    <mergeCell ref="G40:G42"/>
    <mergeCell ref="H40:H42"/>
    <mergeCell ref="I40:I42"/>
  </mergeCells>
  <hyperlinks>
    <hyperlink ref="K5" r:id="rId1" xr:uid="{00000000-0004-0000-0000-000000000000}"/>
    <hyperlink ref="L5" r:id="rId2" xr:uid="{00000000-0004-0000-0000-000001000000}"/>
    <hyperlink ref="K54" r:id="rId3" xr:uid="{00000000-0004-0000-0000-000002000000}"/>
    <hyperlink ref="L54" r:id="rId4" xr:uid="{00000000-0004-0000-0000-000003000000}"/>
    <hyperlink ref="Z54" r:id="rId5" xr:uid="{00000000-0004-0000-0000-000004000000}"/>
    <hyperlink ref="AA54" r:id="rId6" xr:uid="{00000000-0004-0000-0000-000005000000}"/>
    <hyperlink ref="Z5" r:id="rId7" xr:uid="{00000000-0004-0000-0000-000006000000}"/>
    <hyperlink ref="AA5" r:id="rId8" xr:uid="{00000000-0004-0000-0000-000007000000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AA97"/>
  <sheetViews>
    <sheetView topLeftCell="I53" zoomScale="75" zoomScaleNormal="70" workbookViewId="0">
      <selection activeCell="P79" sqref="P79:AA97"/>
    </sheetView>
  </sheetViews>
  <sheetFormatPr baseColWidth="10" defaultColWidth="8.83203125" defaultRowHeight="15" x14ac:dyDescent="0.2"/>
  <cols>
    <col min="5" max="5" width="32.5" customWidth="1"/>
    <col min="7" max="8" width="21.83203125" customWidth="1"/>
    <col min="9" max="9" width="22.1640625" customWidth="1"/>
    <col min="10" max="10" width="24.1640625" customWidth="1"/>
    <col min="19" max="19" width="33.5" customWidth="1"/>
    <col min="21" max="21" width="26.33203125" customWidth="1"/>
    <col min="22" max="22" width="24.6640625" customWidth="1"/>
    <col min="23" max="23" width="24.33203125" customWidth="1"/>
    <col min="24" max="24" width="27.6640625" customWidth="1"/>
  </cols>
  <sheetData>
    <row r="4" spans="2:27" ht="15" customHeight="1" x14ac:dyDescent="0.2">
      <c r="B4" s="77" t="s">
        <v>48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9"/>
      <c r="P4" s="77" t="s">
        <v>49</v>
      </c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</row>
    <row r="5" spans="2:27" ht="15" customHeight="1" x14ac:dyDescent="0.2"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  <c r="P5" s="80"/>
      <c r="Q5" s="81"/>
      <c r="R5" s="81"/>
      <c r="S5" s="81"/>
      <c r="T5" s="81"/>
      <c r="U5" s="81"/>
      <c r="V5" s="81"/>
      <c r="W5" s="81"/>
      <c r="X5" s="81"/>
      <c r="Y5" s="81"/>
      <c r="Z5" s="81"/>
      <c r="AA5" s="82"/>
    </row>
    <row r="6" spans="2:27" ht="15" customHeight="1" x14ac:dyDescent="0.2">
      <c r="B6" s="39" t="s">
        <v>1</v>
      </c>
      <c r="C6" s="36" t="s">
        <v>0</v>
      </c>
      <c r="D6" s="37"/>
      <c r="E6" s="37"/>
      <c r="F6" s="37"/>
      <c r="G6" s="37" t="s">
        <v>2</v>
      </c>
      <c r="H6" s="37"/>
      <c r="I6" s="37"/>
      <c r="J6" s="37"/>
      <c r="K6" s="64" t="s">
        <v>19</v>
      </c>
      <c r="L6" s="65"/>
      <c r="M6" s="66"/>
      <c r="P6" s="39" t="s">
        <v>1</v>
      </c>
      <c r="Q6" s="36" t="s">
        <v>0</v>
      </c>
      <c r="R6" s="37"/>
      <c r="S6" s="37"/>
      <c r="T6" s="37"/>
      <c r="U6" s="37" t="s">
        <v>2</v>
      </c>
      <c r="V6" s="37"/>
      <c r="W6" s="37"/>
      <c r="X6" s="37"/>
      <c r="Y6" s="64" t="s">
        <v>19</v>
      </c>
      <c r="Z6" s="65"/>
      <c r="AA6" s="66"/>
    </row>
    <row r="7" spans="2:27" ht="15" customHeight="1" x14ac:dyDescent="0.2">
      <c r="B7" s="39"/>
      <c r="C7" s="39" t="s">
        <v>4</v>
      </c>
      <c r="D7" s="39"/>
      <c r="E7" s="39"/>
      <c r="F7" s="3" t="s">
        <v>17</v>
      </c>
      <c r="G7" s="1" t="s">
        <v>5</v>
      </c>
      <c r="H7" s="1" t="s">
        <v>6</v>
      </c>
      <c r="I7" s="2" t="s">
        <v>7</v>
      </c>
      <c r="J7" s="2" t="s">
        <v>8</v>
      </c>
      <c r="K7" s="74"/>
      <c r="L7" s="75"/>
      <c r="M7" s="76"/>
      <c r="P7" s="39"/>
      <c r="Q7" s="39" t="s">
        <v>4</v>
      </c>
      <c r="R7" s="39"/>
      <c r="S7" s="39"/>
      <c r="T7" s="3" t="s">
        <v>17</v>
      </c>
      <c r="U7" s="1" t="s">
        <v>5</v>
      </c>
      <c r="V7" s="1" t="s">
        <v>6</v>
      </c>
      <c r="W7" s="2" t="s">
        <v>7</v>
      </c>
      <c r="X7" s="2" t="s">
        <v>8</v>
      </c>
      <c r="Y7" s="74"/>
      <c r="Z7" s="75"/>
      <c r="AA7" s="76"/>
    </row>
    <row r="8" spans="2:27" ht="15" customHeight="1" x14ac:dyDescent="0.2">
      <c r="B8" s="29" t="s">
        <v>3</v>
      </c>
      <c r="C8" s="89" t="s">
        <v>82</v>
      </c>
      <c r="D8" s="90"/>
      <c r="E8" s="91"/>
      <c r="F8" s="22">
        <v>1500</v>
      </c>
      <c r="G8" s="27">
        <v>0.83120000000000005</v>
      </c>
      <c r="H8" s="27">
        <v>0.82110000000000005</v>
      </c>
      <c r="I8" s="27">
        <v>0.9355</v>
      </c>
      <c r="J8" s="28">
        <v>0.9355</v>
      </c>
      <c r="K8" s="46" t="s">
        <v>20</v>
      </c>
      <c r="L8" s="47"/>
      <c r="M8" s="48"/>
      <c r="P8" s="29" t="s">
        <v>3</v>
      </c>
      <c r="Q8" s="89" t="s">
        <v>86</v>
      </c>
      <c r="R8" s="90"/>
      <c r="S8" s="91"/>
      <c r="T8" s="22">
        <v>1500</v>
      </c>
      <c r="U8" s="86">
        <v>0.79549999999999998</v>
      </c>
      <c r="V8" s="86">
        <v>0.78990000000000005</v>
      </c>
      <c r="W8" s="58">
        <v>0.83330000000000004</v>
      </c>
      <c r="X8" s="61">
        <v>0.91669999999999996</v>
      </c>
      <c r="Y8" s="46" t="s">
        <v>20</v>
      </c>
      <c r="Z8" s="47"/>
      <c r="AA8" s="48"/>
    </row>
    <row r="9" spans="2:27" ht="15" customHeight="1" x14ac:dyDescent="0.2">
      <c r="B9" s="30"/>
      <c r="C9" s="92"/>
      <c r="D9" s="93"/>
      <c r="E9" s="94"/>
      <c r="F9" s="22"/>
      <c r="G9" s="27"/>
      <c r="H9" s="27"/>
      <c r="I9" s="27"/>
      <c r="J9" s="28"/>
      <c r="K9" s="49"/>
      <c r="L9" s="50"/>
      <c r="M9" s="51"/>
      <c r="P9" s="30"/>
      <c r="Q9" s="92"/>
      <c r="R9" s="93"/>
      <c r="S9" s="94"/>
      <c r="T9" s="22"/>
      <c r="U9" s="87"/>
      <c r="V9" s="87"/>
      <c r="W9" s="59"/>
      <c r="X9" s="62"/>
      <c r="Y9" s="49"/>
      <c r="Z9" s="50"/>
      <c r="AA9" s="51"/>
    </row>
    <row r="10" spans="2:27" ht="15" customHeight="1" x14ac:dyDescent="0.2">
      <c r="B10" s="30"/>
      <c r="C10" s="92"/>
      <c r="D10" s="93"/>
      <c r="E10" s="94"/>
      <c r="F10" s="22"/>
      <c r="G10" s="27"/>
      <c r="H10" s="27"/>
      <c r="I10" s="27"/>
      <c r="J10" s="28"/>
      <c r="K10" s="49"/>
      <c r="L10" s="50"/>
      <c r="M10" s="51"/>
      <c r="P10" s="30"/>
      <c r="Q10" s="92"/>
      <c r="R10" s="93"/>
      <c r="S10" s="94"/>
      <c r="T10" s="22"/>
      <c r="U10" s="88"/>
      <c r="V10" s="88"/>
      <c r="W10" s="60"/>
      <c r="X10" s="63"/>
      <c r="Y10" s="49"/>
      <c r="Z10" s="50"/>
      <c r="AA10" s="51"/>
    </row>
    <row r="11" spans="2:27" ht="15" customHeight="1" x14ac:dyDescent="0.2">
      <c r="B11" s="30"/>
      <c r="C11" s="92"/>
      <c r="D11" s="93"/>
      <c r="E11" s="94"/>
      <c r="F11" s="22">
        <v>1500</v>
      </c>
      <c r="G11" s="27">
        <v>0.82310000000000005</v>
      </c>
      <c r="H11" s="27">
        <v>0.81379999999999997</v>
      </c>
      <c r="I11" s="28">
        <v>0.9032</v>
      </c>
      <c r="J11" s="28">
        <v>0.9032</v>
      </c>
      <c r="K11" s="49"/>
      <c r="L11" s="50"/>
      <c r="M11" s="51"/>
      <c r="P11" s="30"/>
      <c r="Q11" s="92"/>
      <c r="R11" s="93"/>
      <c r="S11" s="94"/>
      <c r="T11" s="22">
        <v>1500</v>
      </c>
      <c r="U11" s="17">
        <v>0.79200000000000004</v>
      </c>
      <c r="V11" s="17">
        <v>0.7883</v>
      </c>
      <c r="W11" s="58">
        <v>0.83330000000000004</v>
      </c>
      <c r="X11" s="61">
        <v>0.91669999999999996</v>
      </c>
      <c r="Y11" s="49"/>
      <c r="Z11" s="50"/>
      <c r="AA11" s="51"/>
    </row>
    <row r="12" spans="2:27" ht="15" customHeight="1" x14ac:dyDescent="0.2">
      <c r="B12" s="30"/>
      <c r="C12" s="92"/>
      <c r="D12" s="93"/>
      <c r="E12" s="94"/>
      <c r="F12" s="22"/>
      <c r="G12" s="27"/>
      <c r="H12" s="27"/>
      <c r="I12" s="28"/>
      <c r="J12" s="28"/>
      <c r="K12" s="49"/>
      <c r="L12" s="50"/>
      <c r="M12" s="51"/>
      <c r="P12" s="30"/>
      <c r="Q12" s="92"/>
      <c r="R12" s="93"/>
      <c r="S12" s="94"/>
      <c r="T12" s="22"/>
      <c r="U12" s="18"/>
      <c r="V12" s="18"/>
      <c r="W12" s="59"/>
      <c r="X12" s="62"/>
      <c r="Y12" s="49"/>
      <c r="Z12" s="50"/>
      <c r="AA12" s="51"/>
    </row>
    <row r="13" spans="2:27" ht="15" customHeight="1" x14ac:dyDescent="0.2">
      <c r="B13" s="30"/>
      <c r="C13" s="92"/>
      <c r="D13" s="93"/>
      <c r="E13" s="94"/>
      <c r="F13" s="22"/>
      <c r="G13" s="27"/>
      <c r="H13" s="27"/>
      <c r="I13" s="28"/>
      <c r="J13" s="28"/>
      <c r="K13" s="49"/>
      <c r="L13" s="50"/>
      <c r="M13" s="51"/>
      <c r="P13" s="30"/>
      <c r="Q13" s="92"/>
      <c r="R13" s="93"/>
      <c r="S13" s="94"/>
      <c r="T13" s="22"/>
      <c r="U13" s="19"/>
      <c r="V13" s="19"/>
      <c r="W13" s="60"/>
      <c r="X13" s="63"/>
      <c r="Y13" s="49"/>
      <c r="Z13" s="50"/>
      <c r="AA13" s="51"/>
    </row>
    <row r="14" spans="2:27" ht="15" customHeight="1" x14ac:dyDescent="0.2">
      <c r="B14" s="30"/>
      <c r="C14" s="92"/>
      <c r="D14" s="93"/>
      <c r="E14" s="94"/>
      <c r="F14" s="22">
        <v>1500</v>
      </c>
      <c r="G14" s="27">
        <v>0.83109999999999995</v>
      </c>
      <c r="H14" s="27">
        <v>0.81979999999999997</v>
      </c>
      <c r="I14" s="28">
        <v>0.8871</v>
      </c>
      <c r="J14" s="28">
        <v>0.8871</v>
      </c>
      <c r="K14" s="49"/>
      <c r="L14" s="50"/>
      <c r="M14" s="51"/>
      <c r="P14" s="30"/>
      <c r="Q14" s="92"/>
      <c r="R14" s="93"/>
      <c r="S14" s="94"/>
      <c r="T14" s="22">
        <v>1500</v>
      </c>
      <c r="U14" s="17">
        <v>0.78539999999999999</v>
      </c>
      <c r="V14" s="17">
        <v>0.78110000000000002</v>
      </c>
      <c r="W14" s="58">
        <v>0.83330000000000004</v>
      </c>
      <c r="X14" s="61">
        <v>0.91669999999999996</v>
      </c>
      <c r="Y14" s="49"/>
      <c r="Z14" s="50"/>
      <c r="AA14" s="51"/>
    </row>
    <row r="15" spans="2:27" ht="15" customHeight="1" x14ac:dyDescent="0.2">
      <c r="B15" s="30"/>
      <c r="C15" s="92"/>
      <c r="D15" s="93"/>
      <c r="E15" s="94"/>
      <c r="F15" s="22"/>
      <c r="G15" s="27"/>
      <c r="H15" s="27"/>
      <c r="I15" s="28"/>
      <c r="J15" s="28"/>
      <c r="K15" s="49"/>
      <c r="L15" s="50"/>
      <c r="M15" s="51"/>
      <c r="P15" s="30"/>
      <c r="Q15" s="92"/>
      <c r="R15" s="93"/>
      <c r="S15" s="94"/>
      <c r="T15" s="22"/>
      <c r="U15" s="18"/>
      <c r="V15" s="18"/>
      <c r="W15" s="59"/>
      <c r="X15" s="62"/>
      <c r="Y15" s="49"/>
      <c r="Z15" s="50"/>
      <c r="AA15" s="51"/>
    </row>
    <row r="16" spans="2:27" ht="15" customHeight="1" x14ac:dyDescent="0.2">
      <c r="B16" s="30"/>
      <c r="C16" s="92"/>
      <c r="D16" s="93"/>
      <c r="E16" s="94"/>
      <c r="F16" s="22"/>
      <c r="G16" s="27"/>
      <c r="H16" s="27"/>
      <c r="I16" s="28"/>
      <c r="J16" s="28"/>
      <c r="K16" s="49"/>
      <c r="L16" s="50"/>
      <c r="M16" s="51"/>
      <c r="P16" s="30"/>
      <c r="Q16" s="92"/>
      <c r="R16" s="93"/>
      <c r="S16" s="94"/>
      <c r="T16" s="22"/>
      <c r="U16" s="19"/>
      <c r="V16" s="19"/>
      <c r="W16" s="60"/>
      <c r="X16" s="63"/>
      <c r="Y16" s="49"/>
      <c r="Z16" s="50"/>
      <c r="AA16" s="51"/>
    </row>
    <row r="17" spans="2:27" ht="15" customHeight="1" x14ac:dyDescent="0.2">
      <c r="B17" s="30"/>
      <c r="C17" s="92"/>
      <c r="D17" s="93"/>
      <c r="E17" s="94"/>
      <c r="F17" s="22">
        <v>1500</v>
      </c>
      <c r="G17" s="27">
        <v>0.83020000000000005</v>
      </c>
      <c r="H17" s="27">
        <v>0.81830000000000003</v>
      </c>
      <c r="I17" s="28">
        <v>0.8871</v>
      </c>
      <c r="J17" s="28">
        <v>0.8871</v>
      </c>
      <c r="K17" s="49"/>
      <c r="L17" s="50"/>
      <c r="M17" s="51"/>
      <c r="P17" s="30"/>
      <c r="Q17" s="92"/>
      <c r="R17" s="93"/>
      <c r="S17" s="94"/>
      <c r="T17" s="22">
        <v>1500</v>
      </c>
      <c r="U17" s="17">
        <v>0.78259999999999996</v>
      </c>
      <c r="V17" s="17">
        <v>0.77549999999999997</v>
      </c>
      <c r="W17" s="58">
        <v>0.83330000000000004</v>
      </c>
      <c r="X17" s="61">
        <v>0.91669999999999996</v>
      </c>
      <c r="Y17" s="49"/>
      <c r="Z17" s="50"/>
      <c r="AA17" s="51"/>
    </row>
    <row r="18" spans="2:27" ht="15" customHeight="1" x14ac:dyDescent="0.2">
      <c r="B18" s="30"/>
      <c r="C18" s="92"/>
      <c r="D18" s="93"/>
      <c r="E18" s="94"/>
      <c r="F18" s="22"/>
      <c r="G18" s="27"/>
      <c r="H18" s="27"/>
      <c r="I18" s="28"/>
      <c r="J18" s="28"/>
      <c r="K18" s="49"/>
      <c r="L18" s="50"/>
      <c r="M18" s="51"/>
      <c r="P18" s="30"/>
      <c r="Q18" s="92"/>
      <c r="R18" s="93"/>
      <c r="S18" s="94"/>
      <c r="T18" s="22"/>
      <c r="U18" s="18"/>
      <c r="V18" s="18"/>
      <c r="W18" s="59"/>
      <c r="X18" s="62"/>
      <c r="Y18" s="49"/>
      <c r="Z18" s="50"/>
      <c r="AA18" s="51"/>
    </row>
    <row r="19" spans="2:27" ht="15" customHeight="1" x14ac:dyDescent="0.2">
      <c r="B19" s="30"/>
      <c r="C19" s="95"/>
      <c r="D19" s="96"/>
      <c r="E19" s="97"/>
      <c r="F19" s="22"/>
      <c r="G19" s="27"/>
      <c r="H19" s="27"/>
      <c r="I19" s="28"/>
      <c r="J19" s="28"/>
      <c r="K19" s="49"/>
      <c r="L19" s="50"/>
      <c r="M19" s="51"/>
      <c r="P19" s="30"/>
      <c r="Q19" s="95"/>
      <c r="R19" s="96"/>
      <c r="S19" s="97"/>
      <c r="T19" s="22"/>
      <c r="U19" s="19"/>
      <c r="V19" s="19"/>
      <c r="W19" s="60"/>
      <c r="X19" s="63"/>
      <c r="Y19" s="49"/>
      <c r="Z19" s="50"/>
      <c r="AA19" s="51"/>
    </row>
    <row r="20" spans="2:27" ht="15" customHeight="1" x14ac:dyDescent="0.2">
      <c r="B20" s="30"/>
      <c r="C20" s="71" t="s">
        <v>23</v>
      </c>
      <c r="D20" s="71"/>
      <c r="E20" s="71"/>
      <c r="F20" s="56"/>
      <c r="G20" s="7" t="str">
        <f>TEXT(AVERAGE(G8, G11, G14, G17), "0,0000") &amp; " ± " &amp; TEXT(STDEV(G8, G11, G14, G17), "0,0000")</f>
        <v>0,8289 ± 0,0039</v>
      </c>
      <c r="H20" s="7" t="str">
        <f t="shared" ref="H20:J20" si="0">TEXT(AVERAGE(H8, H11, H14, H17), "0,0000") &amp; " ± " &amp; TEXT(STDEV(H8, H11, H14, H17), "0,0000")</f>
        <v>0,8183 ± 0,0032</v>
      </c>
      <c r="I20" s="7" t="str">
        <f t="shared" si="0"/>
        <v>0,9032 ± 0,0228</v>
      </c>
      <c r="J20" s="7" t="str">
        <f t="shared" si="0"/>
        <v>0,9032 ± 0,0228</v>
      </c>
      <c r="K20" s="49"/>
      <c r="L20" s="50"/>
      <c r="M20" s="51"/>
      <c r="P20" s="30"/>
      <c r="Q20" s="71" t="s">
        <v>23</v>
      </c>
      <c r="R20" s="71"/>
      <c r="S20" s="71"/>
      <c r="T20" s="56"/>
      <c r="U20" s="7" t="str">
        <f>TEXT(AVERAGE(U8, U11, U14, U17), "0,0000") &amp; " ± " &amp; TEXT(STDEV(U8, U11, U14, U17), "0,0000")</f>
        <v>0,7889 ± 0,0059</v>
      </c>
      <c r="V20" s="7" t="str">
        <f t="shared" ref="V20:X20" si="1">TEXT(AVERAGE(V8, V11, V14, V17), "0,0000") &amp; " ± " &amp; TEXT(STDEV(V8, V11, V14, V17), "0,0000")</f>
        <v>0,7837 ± 0,0067</v>
      </c>
      <c r="W20" s="7" t="str">
        <f t="shared" si="1"/>
        <v>0,8333 ± 0,0000</v>
      </c>
      <c r="X20" s="7" t="str">
        <f t="shared" si="1"/>
        <v>0,9167 ± 0,0000</v>
      </c>
      <c r="Y20" s="49"/>
      <c r="Z20" s="50"/>
      <c r="AA20" s="51"/>
    </row>
    <row r="21" spans="2:27" ht="15" customHeight="1" x14ac:dyDescent="0.2">
      <c r="B21" s="30"/>
      <c r="C21" s="83"/>
      <c r="D21" s="84"/>
      <c r="E21" s="84"/>
      <c r="F21" s="84"/>
      <c r="G21" s="84"/>
      <c r="H21" s="84"/>
      <c r="I21" s="84"/>
      <c r="J21" s="85"/>
      <c r="K21" s="49"/>
      <c r="L21" s="50"/>
      <c r="M21" s="51"/>
      <c r="P21" s="30"/>
      <c r="Q21" s="83"/>
      <c r="R21" s="84"/>
      <c r="S21" s="84"/>
      <c r="T21" s="84"/>
      <c r="U21" s="84"/>
      <c r="V21" s="84"/>
      <c r="W21" s="84"/>
      <c r="X21" s="85"/>
      <c r="Y21" s="49"/>
      <c r="Z21" s="50"/>
      <c r="AA21" s="51"/>
    </row>
    <row r="22" spans="2:27" ht="15" customHeight="1" x14ac:dyDescent="0.2">
      <c r="B22" s="30"/>
      <c r="C22" s="89" t="s">
        <v>81</v>
      </c>
      <c r="D22" s="90"/>
      <c r="E22" s="91"/>
      <c r="F22" s="22">
        <v>1500</v>
      </c>
      <c r="G22" s="27">
        <v>0.84099999999999997</v>
      </c>
      <c r="H22" s="22">
        <v>0.8296</v>
      </c>
      <c r="I22" s="22">
        <v>0.9032</v>
      </c>
      <c r="J22" s="55">
        <v>0.9032</v>
      </c>
      <c r="K22" s="49"/>
      <c r="L22" s="50"/>
      <c r="M22" s="51"/>
      <c r="P22" s="30"/>
      <c r="Q22" s="89" t="s">
        <v>87</v>
      </c>
      <c r="R22" s="90"/>
      <c r="S22" s="91"/>
      <c r="T22" s="22">
        <v>1500</v>
      </c>
      <c r="U22" s="27">
        <v>0.80840000000000001</v>
      </c>
      <c r="V22" s="27">
        <v>0.82169999999999999</v>
      </c>
      <c r="W22" s="17">
        <v>1</v>
      </c>
      <c r="X22" s="28">
        <v>0.91669999999999996</v>
      </c>
      <c r="Y22" s="49"/>
      <c r="Z22" s="50"/>
      <c r="AA22" s="51"/>
    </row>
    <row r="23" spans="2:27" ht="15" customHeight="1" x14ac:dyDescent="0.2">
      <c r="B23" s="30"/>
      <c r="C23" s="92"/>
      <c r="D23" s="93"/>
      <c r="E23" s="94"/>
      <c r="F23" s="22"/>
      <c r="G23" s="27"/>
      <c r="H23" s="22"/>
      <c r="I23" s="22"/>
      <c r="J23" s="55"/>
      <c r="K23" s="49"/>
      <c r="L23" s="50"/>
      <c r="M23" s="51"/>
      <c r="P23" s="30"/>
      <c r="Q23" s="92"/>
      <c r="R23" s="93"/>
      <c r="S23" s="94"/>
      <c r="T23" s="22"/>
      <c r="U23" s="27"/>
      <c r="V23" s="27"/>
      <c r="W23" s="18"/>
      <c r="X23" s="28"/>
      <c r="Y23" s="49"/>
      <c r="Z23" s="50"/>
      <c r="AA23" s="51"/>
    </row>
    <row r="24" spans="2:27" ht="15" customHeight="1" x14ac:dyDescent="0.2">
      <c r="B24" s="30"/>
      <c r="C24" s="92"/>
      <c r="D24" s="93"/>
      <c r="E24" s="94"/>
      <c r="F24" s="22"/>
      <c r="G24" s="27"/>
      <c r="H24" s="22"/>
      <c r="I24" s="22"/>
      <c r="J24" s="55"/>
      <c r="K24" s="49"/>
      <c r="L24" s="50"/>
      <c r="M24" s="51"/>
      <c r="P24" s="30"/>
      <c r="Q24" s="92"/>
      <c r="R24" s="93"/>
      <c r="S24" s="94"/>
      <c r="T24" s="22"/>
      <c r="U24" s="27"/>
      <c r="V24" s="27"/>
      <c r="W24" s="19"/>
      <c r="X24" s="28"/>
      <c r="Y24" s="49"/>
      <c r="Z24" s="50"/>
      <c r="AA24" s="51"/>
    </row>
    <row r="25" spans="2:27" ht="15" customHeight="1" x14ac:dyDescent="0.2">
      <c r="B25" s="30"/>
      <c r="C25" s="92"/>
      <c r="D25" s="93"/>
      <c r="E25" s="94"/>
      <c r="F25" s="22">
        <v>1500</v>
      </c>
      <c r="G25" s="22">
        <v>0.83830000000000005</v>
      </c>
      <c r="H25" s="22">
        <v>0.82909999999999995</v>
      </c>
      <c r="I25" s="22">
        <v>0.9355</v>
      </c>
      <c r="J25" s="55">
        <v>0.9032</v>
      </c>
      <c r="K25" s="49"/>
      <c r="L25" s="50"/>
      <c r="M25" s="51"/>
      <c r="P25" s="30"/>
      <c r="Q25" s="92"/>
      <c r="R25" s="93"/>
      <c r="S25" s="94"/>
      <c r="T25" s="22">
        <v>1500</v>
      </c>
      <c r="U25" s="26">
        <v>0.80920000000000003</v>
      </c>
      <c r="V25" s="26">
        <v>0.8155</v>
      </c>
      <c r="W25" s="17">
        <v>1</v>
      </c>
      <c r="X25" s="28">
        <v>0.91669999999999996</v>
      </c>
      <c r="Y25" s="49"/>
      <c r="Z25" s="50"/>
      <c r="AA25" s="51"/>
    </row>
    <row r="26" spans="2:27" ht="15" customHeight="1" x14ac:dyDescent="0.2">
      <c r="B26" s="30"/>
      <c r="C26" s="92"/>
      <c r="D26" s="93"/>
      <c r="E26" s="94"/>
      <c r="F26" s="22"/>
      <c r="G26" s="22"/>
      <c r="H26" s="22"/>
      <c r="I26" s="22"/>
      <c r="J26" s="55"/>
      <c r="K26" s="49"/>
      <c r="L26" s="50"/>
      <c r="M26" s="51"/>
      <c r="P26" s="30"/>
      <c r="Q26" s="92"/>
      <c r="R26" s="93"/>
      <c r="S26" s="94"/>
      <c r="T26" s="22"/>
      <c r="U26" s="26"/>
      <c r="V26" s="26"/>
      <c r="W26" s="18"/>
      <c r="X26" s="28"/>
      <c r="Y26" s="49"/>
      <c r="Z26" s="50"/>
      <c r="AA26" s="51"/>
    </row>
    <row r="27" spans="2:27" ht="15" customHeight="1" x14ac:dyDescent="0.2">
      <c r="B27" s="30"/>
      <c r="C27" s="92"/>
      <c r="D27" s="93"/>
      <c r="E27" s="94"/>
      <c r="F27" s="22"/>
      <c r="G27" s="22"/>
      <c r="H27" s="22"/>
      <c r="I27" s="22"/>
      <c r="J27" s="55"/>
      <c r="K27" s="49"/>
      <c r="L27" s="50"/>
      <c r="M27" s="51"/>
      <c r="P27" s="30"/>
      <c r="Q27" s="92"/>
      <c r="R27" s="93"/>
      <c r="S27" s="94"/>
      <c r="T27" s="22"/>
      <c r="U27" s="26"/>
      <c r="V27" s="26"/>
      <c r="W27" s="19"/>
      <c r="X27" s="28"/>
      <c r="Y27" s="49"/>
      <c r="Z27" s="50"/>
      <c r="AA27" s="51"/>
    </row>
    <row r="28" spans="2:27" ht="15" customHeight="1" x14ac:dyDescent="0.2">
      <c r="B28" s="30"/>
      <c r="C28" s="92"/>
      <c r="D28" s="93"/>
      <c r="E28" s="94"/>
      <c r="F28" s="22">
        <v>1500</v>
      </c>
      <c r="G28" s="22">
        <v>0.84060000000000001</v>
      </c>
      <c r="H28" s="22">
        <v>0.83120000000000005</v>
      </c>
      <c r="I28" s="22">
        <v>0.9032</v>
      </c>
      <c r="J28" s="55">
        <v>0.8871</v>
      </c>
      <c r="K28" s="49"/>
      <c r="L28" s="50"/>
      <c r="M28" s="51"/>
      <c r="P28" s="30"/>
      <c r="Q28" s="92"/>
      <c r="R28" s="93"/>
      <c r="S28" s="94"/>
      <c r="T28" s="22">
        <v>1500</v>
      </c>
      <c r="U28" s="27">
        <v>0.8014</v>
      </c>
      <c r="V28" s="27">
        <v>0.82</v>
      </c>
      <c r="W28" s="17">
        <v>1</v>
      </c>
      <c r="X28" s="28">
        <v>0.91669999999999996</v>
      </c>
      <c r="Y28" s="49"/>
      <c r="Z28" s="50"/>
      <c r="AA28" s="51"/>
    </row>
    <row r="29" spans="2:27" ht="15" customHeight="1" x14ac:dyDescent="0.2">
      <c r="B29" s="30"/>
      <c r="C29" s="92"/>
      <c r="D29" s="93"/>
      <c r="E29" s="94"/>
      <c r="F29" s="22"/>
      <c r="G29" s="22"/>
      <c r="H29" s="22"/>
      <c r="I29" s="22"/>
      <c r="J29" s="55"/>
      <c r="K29" s="49"/>
      <c r="L29" s="50"/>
      <c r="M29" s="51"/>
      <c r="P29" s="30"/>
      <c r="Q29" s="92"/>
      <c r="R29" s="93"/>
      <c r="S29" s="94"/>
      <c r="T29" s="22"/>
      <c r="U29" s="27"/>
      <c r="V29" s="27"/>
      <c r="W29" s="18"/>
      <c r="X29" s="28"/>
      <c r="Y29" s="49"/>
      <c r="Z29" s="50"/>
      <c r="AA29" s="51"/>
    </row>
    <row r="30" spans="2:27" ht="15" customHeight="1" x14ac:dyDescent="0.2">
      <c r="B30" s="30"/>
      <c r="C30" s="92"/>
      <c r="D30" s="93"/>
      <c r="E30" s="94"/>
      <c r="F30" s="22"/>
      <c r="G30" s="22"/>
      <c r="H30" s="22"/>
      <c r="I30" s="22"/>
      <c r="J30" s="55"/>
      <c r="K30" s="49"/>
      <c r="L30" s="50"/>
      <c r="M30" s="51"/>
      <c r="P30" s="30"/>
      <c r="Q30" s="92"/>
      <c r="R30" s="93"/>
      <c r="S30" s="94"/>
      <c r="T30" s="22"/>
      <c r="U30" s="27"/>
      <c r="V30" s="27"/>
      <c r="W30" s="19"/>
      <c r="X30" s="28"/>
      <c r="Y30" s="49"/>
      <c r="Z30" s="50"/>
      <c r="AA30" s="51"/>
    </row>
    <row r="31" spans="2:27" ht="15" customHeight="1" x14ac:dyDescent="0.2">
      <c r="B31" s="30"/>
      <c r="C31" s="92"/>
      <c r="D31" s="93"/>
      <c r="E31" s="94"/>
      <c r="F31" s="22">
        <v>1500</v>
      </c>
      <c r="G31" s="22">
        <v>0.83750000000000002</v>
      </c>
      <c r="H31" s="22">
        <v>0.82450000000000001</v>
      </c>
      <c r="I31" s="22">
        <v>0.9032</v>
      </c>
      <c r="J31" s="55">
        <v>0.9032</v>
      </c>
      <c r="K31" s="49"/>
      <c r="L31" s="50"/>
      <c r="M31" s="51"/>
      <c r="P31" s="30"/>
      <c r="Q31" s="92"/>
      <c r="R31" s="93"/>
      <c r="S31" s="94"/>
      <c r="T31" s="22">
        <v>1500</v>
      </c>
      <c r="U31" s="27">
        <v>0.79630000000000001</v>
      </c>
      <c r="V31" s="27">
        <v>0.83009999999999995</v>
      </c>
      <c r="W31" s="17">
        <v>1</v>
      </c>
      <c r="X31" s="28">
        <v>1</v>
      </c>
      <c r="Y31" s="49"/>
      <c r="Z31" s="50"/>
      <c r="AA31" s="51"/>
    </row>
    <row r="32" spans="2:27" ht="15" customHeight="1" x14ac:dyDescent="0.2">
      <c r="B32" s="30"/>
      <c r="C32" s="92"/>
      <c r="D32" s="93"/>
      <c r="E32" s="94"/>
      <c r="F32" s="22"/>
      <c r="G32" s="22"/>
      <c r="H32" s="22"/>
      <c r="I32" s="22"/>
      <c r="J32" s="55"/>
      <c r="K32" s="49"/>
      <c r="L32" s="50"/>
      <c r="M32" s="51"/>
      <c r="P32" s="30"/>
      <c r="Q32" s="92"/>
      <c r="R32" s="93"/>
      <c r="S32" s="94"/>
      <c r="T32" s="22"/>
      <c r="U32" s="27"/>
      <c r="V32" s="27"/>
      <c r="W32" s="18"/>
      <c r="X32" s="28"/>
      <c r="Y32" s="49"/>
      <c r="Z32" s="50"/>
      <c r="AA32" s="51"/>
    </row>
    <row r="33" spans="2:27" ht="15" customHeight="1" x14ac:dyDescent="0.2">
      <c r="B33" s="30"/>
      <c r="C33" s="95"/>
      <c r="D33" s="96"/>
      <c r="E33" s="97"/>
      <c r="F33" s="22"/>
      <c r="G33" s="22"/>
      <c r="H33" s="22"/>
      <c r="I33" s="22"/>
      <c r="J33" s="55"/>
      <c r="K33" s="49"/>
      <c r="L33" s="50"/>
      <c r="M33" s="51"/>
      <c r="P33" s="30"/>
      <c r="Q33" s="95"/>
      <c r="R33" s="96"/>
      <c r="S33" s="97"/>
      <c r="T33" s="22"/>
      <c r="U33" s="27"/>
      <c r="V33" s="27"/>
      <c r="W33" s="19"/>
      <c r="X33" s="28"/>
      <c r="Y33" s="49"/>
      <c r="Z33" s="50"/>
      <c r="AA33" s="51"/>
    </row>
    <row r="34" spans="2:27" ht="16" x14ac:dyDescent="0.2">
      <c r="B34" s="30"/>
      <c r="C34" s="71" t="s">
        <v>23</v>
      </c>
      <c r="D34" s="71"/>
      <c r="E34" s="71"/>
      <c r="F34" s="56"/>
      <c r="G34" s="7" t="str">
        <f>TEXT(AVERAGE(G22, G25, G28, G31), "0,0000") &amp; " ± " &amp; TEXT(STDEV(G22, G25, G28, G31), "0,0000")</f>
        <v>0,8394 ± 0,0017</v>
      </c>
      <c r="H34" s="7" t="str">
        <f t="shared" ref="H34:J34" si="2">TEXT(AVERAGE(H22, H25, H28, H31), "0,0000") &amp; " ± " &amp; TEXT(STDEV(H22, H25, H28, H31), "0,0000")</f>
        <v>0,8286 ± 0,0029</v>
      </c>
      <c r="I34" s="7" t="str">
        <f t="shared" si="2"/>
        <v>0,9113 ± 0,0162</v>
      </c>
      <c r="J34" s="7" t="str">
        <f t="shared" si="2"/>
        <v>0,8992 ± 0,0081</v>
      </c>
      <c r="K34" s="49"/>
      <c r="L34" s="50"/>
      <c r="M34" s="51"/>
      <c r="P34" s="30"/>
      <c r="Q34" s="71" t="s">
        <v>23</v>
      </c>
      <c r="R34" s="71"/>
      <c r="S34" s="71"/>
      <c r="T34" s="56"/>
      <c r="U34" s="7" t="str">
        <f>TEXT(AVERAGE(U22, U25, U28, U31), "0,0000") &amp; " ± " &amp; TEXT(STDEV(U22, U25, U28, U31), "0,0000")</f>
        <v>0,8038 ± 0,0061</v>
      </c>
      <c r="V34" s="7" t="str">
        <f t="shared" ref="V34:X34" si="3">TEXT(AVERAGE(V22, V25, V28, V31), "0,0000") &amp; " ± " &amp; TEXT(STDEV(V22, V25, V28, V31), "0,0000")</f>
        <v>0,8218 ± 0,0061</v>
      </c>
      <c r="W34" s="7" t="str">
        <f t="shared" si="3"/>
        <v>1,0000 ± 0,0000</v>
      </c>
      <c r="X34" s="7" t="str">
        <f t="shared" si="3"/>
        <v>0,9375 ± 0,0417</v>
      </c>
      <c r="Y34" s="49"/>
      <c r="Z34" s="50"/>
      <c r="AA34" s="51"/>
    </row>
    <row r="35" spans="2:27" ht="16" x14ac:dyDescent="0.2">
      <c r="B35" s="30"/>
      <c r="C35" s="83"/>
      <c r="D35" s="84"/>
      <c r="E35" s="84"/>
      <c r="F35" s="84"/>
      <c r="G35" s="84"/>
      <c r="H35" s="84"/>
      <c r="I35" s="84"/>
      <c r="J35" s="85"/>
      <c r="K35" s="49"/>
      <c r="L35" s="50"/>
      <c r="M35" s="51"/>
      <c r="P35" s="30"/>
      <c r="Q35" s="83"/>
      <c r="R35" s="84"/>
      <c r="S35" s="84"/>
      <c r="T35" s="84"/>
      <c r="U35" s="84"/>
      <c r="V35" s="84"/>
      <c r="W35" s="84"/>
      <c r="X35" s="85"/>
      <c r="Y35" s="49"/>
      <c r="Z35" s="50"/>
      <c r="AA35" s="51"/>
    </row>
    <row r="36" spans="2:27" ht="15" customHeight="1" x14ac:dyDescent="0.2">
      <c r="B36" s="30"/>
      <c r="C36" s="89" t="s">
        <v>80</v>
      </c>
      <c r="D36" s="90"/>
      <c r="E36" s="91"/>
      <c r="F36" s="22">
        <v>1500</v>
      </c>
      <c r="G36" s="27">
        <v>0.84019999999999995</v>
      </c>
      <c r="H36" s="22">
        <v>0.83289999999999997</v>
      </c>
      <c r="I36" s="22">
        <v>0.9355</v>
      </c>
      <c r="J36" s="55">
        <v>0.9194</v>
      </c>
      <c r="K36" s="49"/>
      <c r="L36" s="50"/>
      <c r="M36" s="51"/>
      <c r="P36" s="30"/>
      <c r="Q36" s="89" t="s">
        <v>88</v>
      </c>
      <c r="R36" s="90"/>
      <c r="S36" s="91"/>
      <c r="T36" s="22">
        <v>1500</v>
      </c>
      <c r="U36" s="27">
        <v>0.82399999999999995</v>
      </c>
      <c r="V36" s="27">
        <v>0.83360000000000001</v>
      </c>
      <c r="W36" s="17">
        <v>1</v>
      </c>
      <c r="X36" s="23">
        <v>1</v>
      </c>
      <c r="Y36" s="49"/>
      <c r="Z36" s="50"/>
      <c r="AA36" s="51"/>
    </row>
    <row r="37" spans="2:27" ht="15" customHeight="1" x14ac:dyDescent="0.2">
      <c r="B37" s="30"/>
      <c r="C37" s="92"/>
      <c r="D37" s="93"/>
      <c r="E37" s="94"/>
      <c r="F37" s="22"/>
      <c r="G37" s="27"/>
      <c r="H37" s="22"/>
      <c r="I37" s="22"/>
      <c r="J37" s="55"/>
      <c r="K37" s="49"/>
      <c r="L37" s="50"/>
      <c r="M37" s="51"/>
      <c r="P37" s="30"/>
      <c r="Q37" s="92"/>
      <c r="R37" s="93"/>
      <c r="S37" s="94"/>
      <c r="T37" s="22"/>
      <c r="U37" s="27"/>
      <c r="V37" s="27"/>
      <c r="W37" s="18"/>
      <c r="X37" s="24"/>
      <c r="Y37" s="49"/>
      <c r="Z37" s="50"/>
      <c r="AA37" s="51"/>
    </row>
    <row r="38" spans="2:27" ht="15" customHeight="1" x14ac:dyDescent="0.2">
      <c r="B38" s="30"/>
      <c r="C38" s="92"/>
      <c r="D38" s="93"/>
      <c r="E38" s="94"/>
      <c r="F38" s="22"/>
      <c r="G38" s="27"/>
      <c r="H38" s="22"/>
      <c r="I38" s="22"/>
      <c r="J38" s="55"/>
      <c r="K38" s="49"/>
      <c r="L38" s="50"/>
      <c r="M38" s="51"/>
      <c r="P38" s="30"/>
      <c r="Q38" s="92"/>
      <c r="R38" s="93"/>
      <c r="S38" s="94"/>
      <c r="T38" s="22"/>
      <c r="U38" s="27"/>
      <c r="V38" s="27"/>
      <c r="W38" s="19"/>
      <c r="X38" s="25"/>
      <c r="Y38" s="49"/>
      <c r="Z38" s="50"/>
      <c r="AA38" s="51"/>
    </row>
    <row r="39" spans="2:27" ht="15" customHeight="1" x14ac:dyDescent="0.2">
      <c r="B39" s="30"/>
      <c r="C39" s="92"/>
      <c r="D39" s="93"/>
      <c r="E39" s="94"/>
      <c r="F39" s="22">
        <v>1500</v>
      </c>
      <c r="G39" s="39">
        <v>0.84519999999999995</v>
      </c>
      <c r="H39" s="39">
        <v>0.83479999999999999</v>
      </c>
      <c r="I39" s="22">
        <v>0.9677</v>
      </c>
      <c r="J39" s="55">
        <v>0.9194</v>
      </c>
      <c r="K39" s="49"/>
      <c r="L39" s="50"/>
      <c r="M39" s="51"/>
      <c r="P39" s="30"/>
      <c r="Q39" s="92"/>
      <c r="R39" s="93"/>
      <c r="S39" s="94"/>
      <c r="T39" s="22">
        <v>1500</v>
      </c>
      <c r="U39" s="27">
        <v>0.82179999999999997</v>
      </c>
      <c r="V39" s="27">
        <v>0.83440000000000003</v>
      </c>
      <c r="W39" s="17">
        <v>1</v>
      </c>
      <c r="X39" s="23">
        <v>1</v>
      </c>
      <c r="Y39" s="49"/>
      <c r="Z39" s="50"/>
      <c r="AA39" s="51"/>
    </row>
    <row r="40" spans="2:27" ht="15" customHeight="1" x14ac:dyDescent="0.2">
      <c r="B40" s="30"/>
      <c r="C40" s="92"/>
      <c r="D40" s="93"/>
      <c r="E40" s="94"/>
      <c r="F40" s="22"/>
      <c r="G40" s="39"/>
      <c r="H40" s="39"/>
      <c r="I40" s="22"/>
      <c r="J40" s="55"/>
      <c r="K40" s="49"/>
      <c r="L40" s="50"/>
      <c r="M40" s="51"/>
      <c r="P40" s="30"/>
      <c r="Q40" s="92"/>
      <c r="R40" s="93"/>
      <c r="S40" s="94"/>
      <c r="T40" s="22"/>
      <c r="U40" s="27"/>
      <c r="V40" s="27"/>
      <c r="W40" s="18"/>
      <c r="X40" s="24"/>
      <c r="Y40" s="49"/>
      <c r="Z40" s="50"/>
      <c r="AA40" s="51"/>
    </row>
    <row r="41" spans="2:27" ht="15" customHeight="1" x14ac:dyDescent="0.2">
      <c r="B41" s="30"/>
      <c r="C41" s="92"/>
      <c r="D41" s="93"/>
      <c r="E41" s="94"/>
      <c r="F41" s="22"/>
      <c r="G41" s="39"/>
      <c r="H41" s="39"/>
      <c r="I41" s="22"/>
      <c r="J41" s="55"/>
      <c r="K41" s="49"/>
      <c r="L41" s="50"/>
      <c r="M41" s="51"/>
      <c r="P41" s="30"/>
      <c r="Q41" s="92"/>
      <c r="R41" s="93"/>
      <c r="S41" s="94"/>
      <c r="T41" s="22"/>
      <c r="U41" s="27"/>
      <c r="V41" s="27"/>
      <c r="W41" s="19"/>
      <c r="X41" s="25"/>
      <c r="Y41" s="49"/>
      <c r="Z41" s="50"/>
      <c r="AA41" s="51"/>
    </row>
    <row r="42" spans="2:27" ht="15" customHeight="1" x14ac:dyDescent="0.2">
      <c r="B42" s="30"/>
      <c r="C42" s="92"/>
      <c r="D42" s="93"/>
      <c r="E42" s="94"/>
      <c r="F42" s="22">
        <v>1500</v>
      </c>
      <c r="G42" s="22">
        <v>0.84340000000000004</v>
      </c>
      <c r="H42" s="22">
        <v>0.83150000000000002</v>
      </c>
      <c r="I42" s="22">
        <v>0.9355</v>
      </c>
      <c r="J42" s="55">
        <v>0.9032</v>
      </c>
      <c r="K42" s="49"/>
      <c r="L42" s="50"/>
      <c r="M42" s="51"/>
      <c r="P42" s="30"/>
      <c r="Q42" s="92"/>
      <c r="R42" s="93"/>
      <c r="S42" s="94"/>
      <c r="T42" s="22">
        <v>1500</v>
      </c>
      <c r="U42" s="26">
        <v>0.82689999999999997</v>
      </c>
      <c r="V42" s="26">
        <v>0.83340000000000003</v>
      </c>
      <c r="W42" s="17">
        <v>1</v>
      </c>
      <c r="X42" s="23">
        <v>1</v>
      </c>
      <c r="Y42" s="49"/>
      <c r="Z42" s="50"/>
      <c r="AA42" s="51"/>
    </row>
    <row r="43" spans="2:27" ht="15" customHeight="1" x14ac:dyDescent="0.2">
      <c r="B43" s="30"/>
      <c r="C43" s="92"/>
      <c r="D43" s="93"/>
      <c r="E43" s="94"/>
      <c r="F43" s="22"/>
      <c r="G43" s="22"/>
      <c r="H43" s="22"/>
      <c r="I43" s="22"/>
      <c r="J43" s="55"/>
      <c r="K43" s="49"/>
      <c r="L43" s="50"/>
      <c r="M43" s="51"/>
      <c r="P43" s="30"/>
      <c r="Q43" s="92"/>
      <c r="R43" s="93"/>
      <c r="S43" s="94"/>
      <c r="T43" s="22"/>
      <c r="U43" s="26"/>
      <c r="V43" s="26"/>
      <c r="W43" s="18"/>
      <c r="X43" s="24"/>
      <c r="Y43" s="49"/>
      <c r="Z43" s="50"/>
      <c r="AA43" s="51"/>
    </row>
    <row r="44" spans="2:27" ht="15" customHeight="1" x14ac:dyDescent="0.2">
      <c r="B44" s="30"/>
      <c r="C44" s="92"/>
      <c r="D44" s="93"/>
      <c r="E44" s="94"/>
      <c r="F44" s="22"/>
      <c r="G44" s="22"/>
      <c r="H44" s="22"/>
      <c r="I44" s="22"/>
      <c r="J44" s="55"/>
      <c r="K44" s="49"/>
      <c r="L44" s="50"/>
      <c r="M44" s="51"/>
      <c r="P44" s="30"/>
      <c r="Q44" s="92"/>
      <c r="R44" s="93"/>
      <c r="S44" s="94"/>
      <c r="T44" s="22"/>
      <c r="U44" s="26"/>
      <c r="V44" s="26"/>
      <c r="W44" s="19"/>
      <c r="X44" s="25"/>
      <c r="Y44" s="49"/>
      <c r="Z44" s="50"/>
      <c r="AA44" s="51"/>
    </row>
    <row r="45" spans="2:27" ht="15" customHeight="1" x14ac:dyDescent="0.2">
      <c r="B45" s="30"/>
      <c r="C45" s="92"/>
      <c r="D45" s="93"/>
      <c r="E45" s="94"/>
      <c r="F45" s="22">
        <v>1500</v>
      </c>
      <c r="G45" s="22">
        <v>0.84219999999999995</v>
      </c>
      <c r="H45" s="22">
        <v>0.83340000000000003</v>
      </c>
      <c r="I45" s="22">
        <v>0.9355</v>
      </c>
      <c r="J45" s="55">
        <v>0.9032</v>
      </c>
      <c r="K45" s="49"/>
      <c r="L45" s="50"/>
      <c r="M45" s="51"/>
      <c r="P45" s="30"/>
      <c r="Q45" s="92"/>
      <c r="R45" s="93"/>
      <c r="S45" s="94"/>
      <c r="T45" s="22">
        <v>1500</v>
      </c>
      <c r="U45" s="27">
        <v>0.82640000000000002</v>
      </c>
      <c r="V45" s="27">
        <v>0.83430000000000004</v>
      </c>
      <c r="W45" s="17">
        <v>1</v>
      </c>
      <c r="X45" s="23">
        <v>1</v>
      </c>
      <c r="Y45" s="49"/>
      <c r="Z45" s="50"/>
      <c r="AA45" s="51"/>
    </row>
    <row r="46" spans="2:27" ht="15" customHeight="1" x14ac:dyDescent="0.2">
      <c r="B46" s="30"/>
      <c r="C46" s="92"/>
      <c r="D46" s="93"/>
      <c r="E46" s="94"/>
      <c r="F46" s="22"/>
      <c r="G46" s="22"/>
      <c r="H46" s="22"/>
      <c r="I46" s="22"/>
      <c r="J46" s="55"/>
      <c r="K46" s="49"/>
      <c r="L46" s="50"/>
      <c r="M46" s="51"/>
      <c r="P46" s="30"/>
      <c r="Q46" s="92"/>
      <c r="R46" s="93"/>
      <c r="S46" s="94"/>
      <c r="T46" s="22"/>
      <c r="U46" s="27"/>
      <c r="V46" s="27"/>
      <c r="W46" s="18"/>
      <c r="X46" s="24"/>
      <c r="Y46" s="49"/>
      <c r="Z46" s="50"/>
      <c r="AA46" s="51"/>
    </row>
    <row r="47" spans="2:27" ht="15" customHeight="1" x14ac:dyDescent="0.2">
      <c r="B47" s="30"/>
      <c r="C47" s="95"/>
      <c r="D47" s="96"/>
      <c r="E47" s="97"/>
      <c r="F47" s="22"/>
      <c r="G47" s="22"/>
      <c r="H47" s="22"/>
      <c r="I47" s="22"/>
      <c r="J47" s="55"/>
      <c r="K47" s="49"/>
      <c r="L47" s="50"/>
      <c r="M47" s="51"/>
      <c r="P47" s="30"/>
      <c r="Q47" s="95"/>
      <c r="R47" s="96"/>
      <c r="S47" s="97"/>
      <c r="T47" s="22"/>
      <c r="U47" s="27"/>
      <c r="V47" s="27"/>
      <c r="W47" s="19"/>
      <c r="X47" s="25"/>
      <c r="Y47" s="49"/>
      <c r="Z47" s="50"/>
      <c r="AA47" s="51"/>
    </row>
    <row r="48" spans="2:27" ht="16" x14ac:dyDescent="0.2">
      <c r="B48" s="30"/>
      <c r="C48" s="71" t="s">
        <v>23</v>
      </c>
      <c r="D48" s="71"/>
      <c r="E48" s="71"/>
      <c r="F48" s="56"/>
      <c r="G48" s="7" t="str">
        <f>TEXT(AVERAGE(G36, G39, G42, G45), "0,0000") &amp; " ± " &amp; TEXT(STDEV(G36, G39, G42, G45), "0,0000")</f>
        <v>0,8428 ± 0,0021</v>
      </c>
      <c r="H48" s="7" t="str">
        <f t="shared" ref="H48:J48" si="4">TEXT(AVERAGE(H36, H39, H42, H45), "0,0000") &amp; " ± " &amp; TEXT(STDEV(H36, H39, H42, H45), "0,0000")</f>
        <v>0,8332 ± 0,0014</v>
      </c>
      <c r="I48" s="7" t="str">
        <f t="shared" si="4"/>
        <v>0,9436 ± 0,0161</v>
      </c>
      <c r="J48" s="7" t="str">
        <f t="shared" si="4"/>
        <v>0,9113 ± 0,0094</v>
      </c>
      <c r="K48" s="49"/>
      <c r="L48" s="50"/>
      <c r="M48" s="51"/>
      <c r="P48" s="30"/>
      <c r="Q48" s="71" t="s">
        <v>23</v>
      </c>
      <c r="R48" s="71"/>
      <c r="S48" s="71"/>
      <c r="T48" s="56"/>
      <c r="U48" s="7" t="str">
        <f>TEXT(AVERAGE(U36, U39, U42, U45), "0,0000") &amp; " ± " &amp; TEXT(STDEV(U36, U39, U42, U45), "0,0000")</f>
        <v>0,8248 ± 0,0024</v>
      </c>
      <c r="V48" s="7" t="str">
        <f t="shared" ref="V48:X48" si="5">TEXT(AVERAGE(V36, V39, V42, V45), "0,0000") &amp; " ± " &amp; TEXT(STDEV(V36, V39, V42, V45), "0,0000")</f>
        <v>0,8339 ± 0,0005</v>
      </c>
      <c r="W48" s="7" t="str">
        <f t="shared" si="5"/>
        <v>1,0000 ± 0,0000</v>
      </c>
      <c r="X48" s="7" t="str">
        <f t="shared" si="5"/>
        <v>1,0000 ± 0,0000</v>
      </c>
      <c r="Y48" s="49"/>
      <c r="Z48" s="50"/>
      <c r="AA48" s="51"/>
    </row>
    <row r="49" spans="2:27" ht="16" x14ac:dyDescent="0.2">
      <c r="B49" s="30"/>
      <c r="C49" s="83"/>
      <c r="D49" s="84"/>
      <c r="E49" s="84"/>
      <c r="F49" s="84"/>
      <c r="G49" s="84"/>
      <c r="H49" s="84"/>
      <c r="I49" s="84"/>
      <c r="J49" s="85"/>
      <c r="K49" s="49"/>
      <c r="L49" s="50"/>
      <c r="M49" s="51"/>
      <c r="P49" s="30"/>
      <c r="Q49" s="83"/>
      <c r="R49" s="84"/>
      <c r="S49" s="84"/>
      <c r="T49" s="84"/>
      <c r="U49" s="84"/>
      <c r="V49" s="84"/>
      <c r="W49" s="84"/>
      <c r="X49" s="85"/>
      <c r="Y49" s="49"/>
      <c r="Z49" s="50"/>
      <c r="AA49" s="51"/>
    </row>
    <row r="50" spans="2:27" ht="15" customHeight="1" x14ac:dyDescent="0.2">
      <c r="B50" s="30"/>
      <c r="C50" s="89" t="s">
        <v>79</v>
      </c>
      <c r="D50" s="90"/>
      <c r="E50" s="91"/>
      <c r="F50" s="22">
        <v>1500</v>
      </c>
      <c r="G50" s="26">
        <v>0.84279999999999999</v>
      </c>
      <c r="H50" s="39">
        <v>0.83240000000000003</v>
      </c>
      <c r="I50" s="22">
        <v>0.9032</v>
      </c>
      <c r="J50" s="55">
        <v>0.9194</v>
      </c>
      <c r="K50" s="49"/>
      <c r="L50" s="50"/>
      <c r="M50" s="51"/>
      <c r="P50" s="30"/>
      <c r="Q50" s="89" t="s">
        <v>85</v>
      </c>
      <c r="R50" s="90"/>
      <c r="S50" s="91"/>
      <c r="T50" s="22">
        <v>1500</v>
      </c>
      <c r="U50" s="27">
        <v>0.8256</v>
      </c>
      <c r="V50" s="27">
        <v>0.84670000000000001</v>
      </c>
      <c r="W50" s="17">
        <v>1</v>
      </c>
      <c r="X50" s="23">
        <v>1</v>
      </c>
      <c r="Y50" s="49"/>
      <c r="Z50" s="50"/>
      <c r="AA50" s="51"/>
    </row>
    <row r="51" spans="2:27" ht="15" customHeight="1" x14ac:dyDescent="0.2">
      <c r="B51" s="30"/>
      <c r="C51" s="92"/>
      <c r="D51" s="93"/>
      <c r="E51" s="94"/>
      <c r="F51" s="22"/>
      <c r="G51" s="26"/>
      <c r="H51" s="39"/>
      <c r="I51" s="22"/>
      <c r="J51" s="55"/>
      <c r="K51" s="49"/>
      <c r="L51" s="50"/>
      <c r="M51" s="51"/>
      <c r="P51" s="30"/>
      <c r="Q51" s="92"/>
      <c r="R51" s="93"/>
      <c r="S51" s="94"/>
      <c r="T51" s="22"/>
      <c r="U51" s="27"/>
      <c r="V51" s="27"/>
      <c r="W51" s="18"/>
      <c r="X51" s="24"/>
      <c r="Y51" s="49"/>
      <c r="Z51" s="50"/>
      <c r="AA51" s="51"/>
    </row>
    <row r="52" spans="2:27" ht="15" customHeight="1" x14ac:dyDescent="0.2">
      <c r="B52" s="30"/>
      <c r="C52" s="92"/>
      <c r="D52" s="93"/>
      <c r="E52" s="94"/>
      <c r="F52" s="22"/>
      <c r="G52" s="26"/>
      <c r="H52" s="39"/>
      <c r="I52" s="22"/>
      <c r="J52" s="55"/>
      <c r="K52" s="49"/>
      <c r="L52" s="50"/>
      <c r="M52" s="51"/>
      <c r="P52" s="30"/>
      <c r="Q52" s="92"/>
      <c r="R52" s="93"/>
      <c r="S52" s="94"/>
      <c r="T52" s="22"/>
      <c r="U52" s="27"/>
      <c r="V52" s="27"/>
      <c r="W52" s="19"/>
      <c r="X52" s="25"/>
      <c r="Y52" s="49"/>
      <c r="Z52" s="50"/>
      <c r="AA52" s="51"/>
    </row>
    <row r="53" spans="2:27" ht="15" customHeight="1" x14ac:dyDescent="0.2">
      <c r="B53" s="30"/>
      <c r="C53" s="92"/>
      <c r="D53" s="93"/>
      <c r="E53" s="94"/>
      <c r="F53" s="22">
        <v>1500</v>
      </c>
      <c r="G53" s="22">
        <v>0.84130000000000005</v>
      </c>
      <c r="H53" s="22">
        <v>0.82789999999999997</v>
      </c>
      <c r="I53" s="22">
        <v>0.9032</v>
      </c>
      <c r="J53" s="55">
        <v>0.9194</v>
      </c>
      <c r="K53" s="49"/>
      <c r="L53" s="50"/>
      <c r="M53" s="51"/>
      <c r="P53" s="30"/>
      <c r="Q53" s="92"/>
      <c r="R53" s="93"/>
      <c r="S53" s="94"/>
      <c r="T53" s="22">
        <v>1500</v>
      </c>
      <c r="U53" s="27">
        <v>0.82420000000000004</v>
      </c>
      <c r="V53" s="27">
        <v>0.82169999999999999</v>
      </c>
      <c r="W53" s="17">
        <v>1</v>
      </c>
      <c r="X53" s="23">
        <v>0.83330000000000004</v>
      </c>
      <c r="Y53" s="49"/>
      <c r="Z53" s="50"/>
      <c r="AA53" s="51"/>
    </row>
    <row r="54" spans="2:27" ht="15" customHeight="1" x14ac:dyDescent="0.2">
      <c r="B54" s="30"/>
      <c r="C54" s="92"/>
      <c r="D54" s="93"/>
      <c r="E54" s="94"/>
      <c r="F54" s="22"/>
      <c r="G54" s="22"/>
      <c r="H54" s="22"/>
      <c r="I54" s="22"/>
      <c r="J54" s="55"/>
      <c r="K54" s="49"/>
      <c r="L54" s="50"/>
      <c r="M54" s="51"/>
      <c r="P54" s="30"/>
      <c r="Q54" s="92"/>
      <c r="R54" s="93"/>
      <c r="S54" s="94"/>
      <c r="T54" s="22"/>
      <c r="U54" s="27"/>
      <c r="V54" s="27"/>
      <c r="W54" s="18"/>
      <c r="X54" s="24"/>
      <c r="Y54" s="49"/>
      <c r="Z54" s="50"/>
      <c r="AA54" s="51"/>
    </row>
    <row r="55" spans="2:27" ht="15" customHeight="1" x14ac:dyDescent="0.2">
      <c r="B55" s="30"/>
      <c r="C55" s="92"/>
      <c r="D55" s="93"/>
      <c r="E55" s="94"/>
      <c r="F55" s="22"/>
      <c r="G55" s="22"/>
      <c r="H55" s="22"/>
      <c r="I55" s="22"/>
      <c r="J55" s="55"/>
      <c r="K55" s="49"/>
      <c r="L55" s="50"/>
      <c r="M55" s="51"/>
      <c r="P55" s="30"/>
      <c r="Q55" s="92"/>
      <c r="R55" s="93"/>
      <c r="S55" s="94"/>
      <c r="T55" s="22"/>
      <c r="U55" s="27"/>
      <c r="V55" s="27"/>
      <c r="W55" s="19"/>
      <c r="X55" s="25"/>
      <c r="Y55" s="49"/>
      <c r="Z55" s="50"/>
      <c r="AA55" s="51"/>
    </row>
    <row r="56" spans="2:27" ht="15" customHeight="1" x14ac:dyDescent="0.2">
      <c r="B56" s="30"/>
      <c r="C56" s="92"/>
      <c r="D56" s="93"/>
      <c r="E56" s="94"/>
      <c r="F56" s="22">
        <v>1500</v>
      </c>
      <c r="G56" s="22">
        <v>0.83989999999999998</v>
      </c>
      <c r="H56" s="22">
        <v>0.82920000000000005</v>
      </c>
      <c r="I56" s="22">
        <v>0.9355</v>
      </c>
      <c r="J56" s="55">
        <v>0.9032</v>
      </c>
      <c r="K56" s="49"/>
      <c r="L56" s="50"/>
      <c r="M56" s="51"/>
      <c r="P56" s="30"/>
      <c r="Q56" s="92"/>
      <c r="R56" s="93"/>
      <c r="S56" s="94"/>
      <c r="T56" s="22">
        <v>1500</v>
      </c>
      <c r="U56" s="26">
        <v>0.82769999999999999</v>
      </c>
      <c r="V56" s="26">
        <v>0.8548</v>
      </c>
      <c r="W56" s="17">
        <v>1</v>
      </c>
      <c r="X56" s="23">
        <v>1</v>
      </c>
      <c r="Y56" s="49"/>
      <c r="Z56" s="50"/>
      <c r="AA56" s="51"/>
    </row>
    <row r="57" spans="2:27" ht="15" customHeight="1" x14ac:dyDescent="0.2">
      <c r="B57" s="30"/>
      <c r="C57" s="92"/>
      <c r="D57" s="93"/>
      <c r="E57" s="94"/>
      <c r="F57" s="22"/>
      <c r="G57" s="22"/>
      <c r="H57" s="22"/>
      <c r="I57" s="22"/>
      <c r="J57" s="55"/>
      <c r="K57" s="49"/>
      <c r="L57" s="50"/>
      <c r="M57" s="51"/>
      <c r="P57" s="30"/>
      <c r="Q57" s="92"/>
      <c r="R57" s="93"/>
      <c r="S57" s="94"/>
      <c r="T57" s="22"/>
      <c r="U57" s="26"/>
      <c r="V57" s="26"/>
      <c r="W57" s="18"/>
      <c r="X57" s="24"/>
      <c r="Y57" s="49"/>
      <c r="Z57" s="50"/>
      <c r="AA57" s="51"/>
    </row>
    <row r="58" spans="2:27" ht="15" customHeight="1" x14ac:dyDescent="0.2">
      <c r="B58" s="30"/>
      <c r="C58" s="92"/>
      <c r="D58" s="93"/>
      <c r="E58" s="94"/>
      <c r="F58" s="22"/>
      <c r="G58" s="22"/>
      <c r="H58" s="22"/>
      <c r="I58" s="22"/>
      <c r="J58" s="55"/>
      <c r="K58" s="49"/>
      <c r="L58" s="50"/>
      <c r="M58" s="51"/>
      <c r="P58" s="30"/>
      <c r="Q58" s="92"/>
      <c r="R58" s="93"/>
      <c r="S58" s="94"/>
      <c r="T58" s="22"/>
      <c r="U58" s="26"/>
      <c r="V58" s="26"/>
      <c r="W58" s="19"/>
      <c r="X58" s="25"/>
      <c r="Y58" s="49"/>
      <c r="Z58" s="50"/>
      <c r="AA58" s="51"/>
    </row>
    <row r="59" spans="2:27" ht="15" customHeight="1" x14ac:dyDescent="0.2">
      <c r="B59" s="30"/>
      <c r="C59" s="92"/>
      <c r="D59" s="93"/>
      <c r="E59" s="94"/>
      <c r="F59" s="22">
        <v>1500</v>
      </c>
      <c r="G59" s="22">
        <v>0.83779999999999999</v>
      </c>
      <c r="H59" s="22">
        <v>0.82969999999999999</v>
      </c>
      <c r="I59" s="22">
        <v>0.9032</v>
      </c>
      <c r="J59" s="55">
        <v>0.9194</v>
      </c>
      <c r="K59" s="49"/>
      <c r="L59" s="50"/>
      <c r="M59" s="51"/>
      <c r="P59" s="30"/>
      <c r="Q59" s="92"/>
      <c r="R59" s="93"/>
      <c r="S59" s="94"/>
      <c r="T59" s="22">
        <v>1500</v>
      </c>
      <c r="U59" s="27">
        <v>0.82589999999999997</v>
      </c>
      <c r="V59" s="27">
        <v>0.82820000000000005</v>
      </c>
      <c r="W59" s="17">
        <v>1</v>
      </c>
      <c r="X59" s="23">
        <v>0.91669999999999996</v>
      </c>
      <c r="Y59" s="49"/>
      <c r="Z59" s="50"/>
      <c r="AA59" s="51"/>
    </row>
    <row r="60" spans="2:27" ht="15" customHeight="1" x14ac:dyDescent="0.2">
      <c r="B60" s="30"/>
      <c r="C60" s="92"/>
      <c r="D60" s="93"/>
      <c r="E60" s="94"/>
      <c r="F60" s="22"/>
      <c r="G60" s="22"/>
      <c r="H60" s="22"/>
      <c r="I60" s="22"/>
      <c r="J60" s="55"/>
      <c r="K60" s="49"/>
      <c r="L60" s="50"/>
      <c r="M60" s="51"/>
      <c r="P60" s="30"/>
      <c r="Q60" s="92"/>
      <c r="R60" s="93"/>
      <c r="S60" s="94"/>
      <c r="T60" s="22"/>
      <c r="U60" s="27"/>
      <c r="V60" s="27"/>
      <c r="W60" s="18"/>
      <c r="X60" s="24"/>
      <c r="Y60" s="49"/>
      <c r="Z60" s="50"/>
      <c r="AA60" s="51"/>
    </row>
    <row r="61" spans="2:27" ht="15" customHeight="1" x14ac:dyDescent="0.2">
      <c r="B61" s="30"/>
      <c r="C61" s="95"/>
      <c r="D61" s="96"/>
      <c r="E61" s="97"/>
      <c r="F61" s="22"/>
      <c r="G61" s="22"/>
      <c r="H61" s="22"/>
      <c r="I61" s="22"/>
      <c r="J61" s="55"/>
      <c r="K61" s="49"/>
      <c r="L61" s="50"/>
      <c r="M61" s="51"/>
      <c r="P61" s="30"/>
      <c r="Q61" s="95"/>
      <c r="R61" s="96"/>
      <c r="S61" s="97"/>
      <c r="T61" s="22"/>
      <c r="U61" s="27"/>
      <c r="V61" s="27"/>
      <c r="W61" s="19"/>
      <c r="X61" s="25"/>
      <c r="Y61" s="49"/>
      <c r="Z61" s="50"/>
      <c r="AA61" s="51"/>
    </row>
    <row r="62" spans="2:27" ht="16" x14ac:dyDescent="0.2">
      <c r="B62" s="30"/>
      <c r="C62" s="71" t="s">
        <v>23</v>
      </c>
      <c r="D62" s="71"/>
      <c r="E62" s="71"/>
      <c r="F62" s="56"/>
      <c r="G62" s="7" t="str">
        <f>TEXT(AVERAGE(G50, G53, G56, G59), "0,0000") &amp; " ± " &amp; TEXT(STDEV(G50, G53, G56, G59), "0,0000")</f>
        <v>0,8405 ± 0,0021</v>
      </c>
      <c r="H62" s="7" t="str">
        <f t="shared" ref="H62:J62" si="6">TEXT(AVERAGE(H50, H53, H56, H59), "0,0000") &amp; " ± " &amp; TEXT(STDEV(H50, H53, H56, H59), "0,0000")</f>
        <v>0,8298 ± 0,0019</v>
      </c>
      <c r="I62" s="7" t="str">
        <f t="shared" si="6"/>
        <v>0,9113 ± 0,0162</v>
      </c>
      <c r="J62" s="7" t="str">
        <f t="shared" si="6"/>
        <v>0,9154 ± 0,0081</v>
      </c>
      <c r="K62" s="49"/>
      <c r="L62" s="50"/>
      <c r="M62" s="51"/>
      <c r="P62" s="30"/>
      <c r="Q62" s="71" t="s">
        <v>23</v>
      </c>
      <c r="R62" s="71"/>
      <c r="S62" s="71"/>
      <c r="T62" s="56"/>
      <c r="U62" s="7" t="str">
        <f>TEXT(AVERAGE(U50, U53, U56, U59), "0,0000") &amp; " ± " &amp; TEXT(STDEV(U50, U53, U56, U59), "0,0000")</f>
        <v>0,8259 ± 0,0014</v>
      </c>
      <c r="V62" s="7" t="str">
        <f t="shared" ref="V62:X62" si="7">TEXT(AVERAGE(V50, V53, V56, V59), "0,0000") &amp; " ± " &amp; TEXT(STDEV(V50, V53, V56, V59), "0,0000")</f>
        <v>0,8379 ± 0,0155</v>
      </c>
      <c r="W62" s="7" t="str">
        <f t="shared" si="7"/>
        <v>1,0000 ± 0,0000</v>
      </c>
      <c r="X62" s="7" t="str">
        <f t="shared" si="7"/>
        <v>0,9375 ± 0,0798</v>
      </c>
      <c r="Y62" s="49"/>
      <c r="Z62" s="50"/>
      <c r="AA62" s="51"/>
    </row>
    <row r="63" spans="2:27" ht="16" x14ac:dyDescent="0.2">
      <c r="B63" s="30"/>
      <c r="C63" s="83"/>
      <c r="D63" s="84"/>
      <c r="E63" s="84"/>
      <c r="F63" s="84"/>
      <c r="G63" s="84"/>
      <c r="H63" s="84"/>
      <c r="I63" s="84"/>
      <c r="J63" s="85"/>
      <c r="K63" s="49"/>
      <c r="L63" s="50"/>
      <c r="M63" s="51"/>
      <c r="P63" s="30"/>
      <c r="Q63" s="83"/>
      <c r="R63" s="84"/>
      <c r="S63" s="84"/>
      <c r="T63" s="84"/>
      <c r="U63" s="84"/>
      <c r="V63" s="84"/>
      <c r="W63" s="84"/>
      <c r="X63" s="85"/>
      <c r="Y63" s="49"/>
      <c r="Z63" s="50"/>
      <c r="AA63" s="51"/>
    </row>
    <row r="64" spans="2:27" ht="15" customHeight="1" x14ac:dyDescent="0.2">
      <c r="B64" s="30"/>
      <c r="C64" s="89" t="s">
        <v>83</v>
      </c>
      <c r="D64" s="90"/>
      <c r="E64" s="91"/>
      <c r="F64" s="22">
        <v>1500</v>
      </c>
      <c r="G64" s="27">
        <v>0.75960000000000005</v>
      </c>
      <c r="H64" s="27">
        <v>0.75429999999999997</v>
      </c>
      <c r="I64" s="27">
        <v>0.9032</v>
      </c>
      <c r="J64" s="28">
        <v>0.8871</v>
      </c>
      <c r="K64" s="49"/>
      <c r="L64" s="50"/>
      <c r="M64" s="51"/>
      <c r="P64" s="30"/>
      <c r="Q64" s="89" t="s">
        <v>84</v>
      </c>
      <c r="R64" s="90"/>
      <c r="S64" s="91"/>
      <c r="T64" s="22">
        <v>1500</v>
      </c>
      <c r="U64" s="27">
        <v>0.75600000000000001</v>
      </c>
      <c r="V64" s="27">
        <v>0.76729999999999998</v>
      </c>
      <c r="W64" s="27">
        <v>0.83330000000000004</v>
      </c>
      <c r="X64" s="28">
        <v>0.91669999999999996</v>
      </c>
      <c r="Y64" s="49"/>
      <c r="Z64" s="50"/>
      <c r="AA64" s="51"/>
    </row>
    <row r="65" spans="2:27" ht="15" customHeight="1" x14ac:dyDescent="0.2">
      <c r="B65" s="30"/>
      <c r="C65" s="92"/>
      <c r="D65" s="93"/>
      <c r="E65" s="94"/>
      <c r="F65" s="22"/>
      <c r="G65" s="27"/>
      <c r="H65" s="27"/>
      <c r="I65" s="27"/>
      <c r="J65" s="28"/>
      <c r="K65" s="49"/>
      <c r="L65" s="50"/>
      <c r="M65" s="51"/>
      <c r="P65" s="30"/>
      <c r="Q65" s="92"/>
      <c r="R65" s="93"/>
      <c r="S65" s="94"/>
      <c r="T65" s="22"/>
      <c r="U65" s="27"/>
      <c r="V65" s="27"/>
      <c r="W65" s="27"/>
      <c r="X65" s="28"/>
      <c r="Y65" s="49"/>
      <c r="Z65" s="50"/>
      <c r="AA65" s="51"/>
    </row>
    <row r="66" spans="2:27" ht="15" customHeight="1" x14ac:dyDescent="0.2">
      <c r="B66" s="30"/>
      <c r="C66" s="92"/>
      <c r="D66" s="93"/>
      <c r="E66" s="94"/>
      <c r="F66" s="22"/>
      <c r="G66" s="27"/>
      <c r="H66" s="27"/>
      <c r="I66" s="27"/>
      <c r="J66" s="28"/>
      <c r="K66" s="49"/>
      <c r="L66" s="50"/>
      <c r="M66" s="51"/>
      <c r="P66" s="30"/>
      <c r="Q66" s="92"/>
      <c r="R66" s="93"/>
      <c r="S66" s="94"/>
      <c r="T66" s="22"/>
      <c r="U66" s="27"/>
      <c r="V66" s="27"/>
      <c r="W66" s="27"/>
      <c r="X66" s="28"/>
      <c r="Y66" s="49"/>
      <c r="Z66" s="50"/>
      <c r="AA66" s="51"/>
    </row>
    <row r="67" spans="2:27" ht="15" customHeight="1" x14ac:dyDescent="0.2">
      <c r="B67" s="30"/>
      <c r="C67" s="92"/>
      <c r="D67" s="93"/>
      <c r="E67" s="94"/>
      <c r="F67" s="22">
        <v>1500</v>
      </c>
      <c r="G67" s="27">
        <v>0.75439999999999996</v>
      </c>
      <c r="H67" s="27">
        <v>0.75129999999999997</v>
      </c>
      <c r="I67" s="27">
        <v>0.9032</v>
      </c>
      <c r="J67" s="28">
        <v>0.8871</v>
      </c>
      <c r="K67" s="49"/>
      <c r="L67" s="50"/>
      <c r="M67" s="51"/>
      <c r="P67" s="30"/>
      <c r="Q67" s="92"/>
      <c r="R67" s="93"/>
      <c r="S67" s="94"/>
      <c r="T67" s="22">
        <v>1500</v>
      </c>
      <c r="U67" s="26">
        <v>0.75760000000000005</v>
      </c>
      <c r="V67" s="26">
        <v>0.76849999999999996</v>
      </c>
      <c r="W67" s="27">
        <v>0.83330000000000004</v>
      </c>
      <c r="X67" s="28">
        <v>0.91669999999999996</v>
      </c>
      <c r="Y67" s="49"/>
      <c r="Z67" s="50"/>
      <c r="AA67" s="51"/>
    </row>
    <row r="68" spans="2:27" ht="15" customHeight="1" x14ac:dyDescent="0.2">
      <c r="B68" s="30"/>
      <c r="C68" s="92"/>
      <c r="D68" s="93"/>
      <c r="E68" s="94"/>
      <c r="F68" s="22"/>
      <c r="G68" s="27"/>
      <c r="H68" s="27"/>
      <c r="I68" s="27"/>
      <c r="J68" s="28"/>
      <c r="K68" s="49"/>
      <c r="L68" s="50"/>
      <c r="M68" s="51"/>
      <c r="P68" s="30"/>
      <c r="Q68" s="92"/>
      <c r="R68" s="93"/>
      <c r="S68" s="94"/>
      <c r="T68" s="22"/>
      <c r="U68" s="26"/>
      <c r="V68" s="26"/>
      <c r="W68" s="27"/>
      <c r="X68" s="28"/>
      <c r="Y68" s="49"/>
      <c r="Z68" s="50"/>
      <c r="AA68" s="51"/>
    </row>
    <row r="69" spans="2:27" ht="15" customHeight="1" x14ac:dyDescent="0.2">
      <c r="B69" s="30"/>
      <c r="C69" s="92"/>
      <c r="D69" s="93"/>
      <c r="E69" s="94"/>
      <c r="F69" s="22"/>
      <c r="G69" s="27"/>
      <c r="H69" s="27"/>
      <c r="I69" s="27"/>
      <c r="J69" s="28"/>
      <c r="K69" s="49"/>
      <c r="L69" s="50"/>
      <c r="M69" s="51"/>
      <c r="P69" s="30"/>
      <c r="Q69" s="92"/>
      <c r="R69" s="93"/>
      <c r="S69" s="94"/>
      <c r="T69" s="22"/>
      <c r="U69" s="26"/>
      <c r="V69" s="26"/>
      <c r="W69" s="27"/>
      <c r="X69" s="28"/>
      <c r="Y69" s="49"/>
      <c r="Z69" s="50"/>
      <c r="AA69" s="51"/>
    </row>
    <row r="70" spans="2:27" ht="15" customHeight="1" x14ac:dyDescent="0.2">
      <c r="B70" s="30"/>
      <c r="C70" s="92"/>
      <c r="D70" s="93"/>
      <c r="E70" s="94"/>
      <c r="F70" s="22">
        <v>1500</v>
      </c>
      <c r="G70" s="26">
        <v>0.7631</v>
      </c>
      <c r="H70" s="26">
        <v>0.75649999999999995</v>
      </c>
      <c r="I70" s="27">
        <v>0.9032</v>
      </c>
      <c r="J70" s="28">
        <v>0.871</v>
      </c>
      <c r="K70" s="49"/>
      <c r="L70" s="50"/>
      <c r="M70" s="51"/>
      <c r="P70" s="30"/>
      <c r="Q70" s="92"/>
      <c r="R70" s="93"/>
      <c r="S70" s="94"/>
      <c r="T70" s="22">
        <v>1500</v>
      </c>
      <c r="U70" s="27">
        <v>0.75619999999999998</v>
      </c>
      <c r="V70" s="27">
        <v>0.76959999999999995</v>
      </c>
      <c r="W70" s="27">
        <v>0.83330000000000004</v>
      </c>
      <c r="X70" s="28">
        <v>0.91669999999999996</v>
      </c>
      <c r="Y70" s="49"/>
      <c r="Z70" s="50"/>
      <c r="AA70" s="51"/>
    </row>
    <row r="71" spans="2:27" ht="15" customHeight="1" x14ac:dyDescent="0.2">
      <c r="B71" s="30"/>
      <c r="C71" s="92"/>
      <c r="D71" s="93"/>
      <c r="E71" s="94"/>
      <c r="F71" s="22"/>
      <c r="G71" s="26"/>
      <c r="H71" s="26"/>
      <c r="I71" s="27"/>
      <c r="J71" s="28"/>
      <c r="K71" s="49"/>
      <c r="L71" s="50"/>
      <c r="M71" s="51"/>
      <c r="P71" s="30"/>
      <c r="Q71" s="92"/>
      <c r="R71" s="93"/>
      <c r="S71" s="94"/>
      <c r="T71" s="22"/>
      <c r="U71" s="27"/>
      <c r="V71" s="27"/>
      <c r="W71" s="27"/>
      <c r="X71" s="28"/>
      <c r="Y71" s="49"/>
      <c r="Z71" s="50"/>
      <c r="AA71" s="51"/>
    </row>
    <row r="72" spans="2:27" ht="15" customHeight="1" x14ac:dyDescent="0.2">
      <c r="B72" s="30"/>
      <c r="C72" s="92"/>
      <c r="D72" s="93"/>
      <c r="E72" s="94"/>
      <c r="F72" s="22"/>
      <c r="G72" s="26"/>
      <c r="H72" s="26"/>
      <c r="I72" s="27"/>
      <c r="J72" s="28"/>
      <c r="K72" s="49"/>
      <c r="L72" s="50"/>
      <c r="M72" s="51"/>
      <c r="P72" s="30"/>
      <c r="Q72" s="92"/>
      <c r="R72" s="93"/>
      <c r="S72" s="94"/>
      <c r="T72" s="22"/>
      <c r="U72" s="27"/>
      <c r="V72" s="27"/>
      <c r="W72" s="27"/>
      <c r="X72" s="28"/>
      <c r="Y72" s="49"/>
      <c r="Z72" s="50"/>
      <c r="AA72" s="51"/>
    </row>
    <row r="73" spans="2:27" ht="15" customHeight="1" x14ac:dyDescent="0.2">
      <c r="B73" s="30"/>
      <c r="C73" s="92"/>
      <c r="D73" s="93"/>
      <c r="E73" s="94"/>
      <c r="F73" s="22">
        <v>1500</v>
      </c>
      <c r="G73" s="27">
        <v>0.75549999999999995</v>
      </c>
      <c r="H73" s="27">
        <v>0.75160000000000005</v>
      </c>
      <c r="I73" s="27">
        <v>0.9032</v>
      </c>
      <c r="J73" s="28">
        <v>0.8871</v>
      </c>
      <c r="K73" s="49"/>
      <c r="L73" s="50"/>
      <c r="M73" s="51"/>
      <c r="P73" s="30"/>
      <c r="Q73" s="92"/>
      <c r="R73" s="93"/>
      <c r="S73" s="94"/>
      <c r="T73" s="22">
        <v>1500</v>
      </c>
      <c r="U73" s="27">
        <v>0.75570000000000004</v>
      </c>
      <c r="V73" s="27">
        <v>0.76690000000000003</v>
      </c>
      <c r="W73" s="27">
        <v>0.83330000000000004</v>
      </c>
      <c r="X73" s="28">
        <v>0.91669999999999996</v>
      </c>
      <c r="Y73" s="49"/>
      <c r="Z73" s="50"/>
      <c r="AA73" s="51"/>
    </row>
    <row r="74" spans="2:27" ht="15" customHeight="1" x14ac:dyDescent="0.2">
      <c r="B74" s="30"/>
      <c r="C74" s="92"/>
      <c r="D74" s="93"/>
      <c r="E74" s="94"/>
      <c r="F74" s="22"/>
      <c r="G74" s="27"/>
      <c r="H74" s="27"/>
      <c r="I74" s="27"/>
      <c r="J74" s="28"/>
      <c r="K74" s="49"/>
      <c r="L74" s="50"/>
      <c r="M74" s="51"/>
      <c r="P74" s="30"/>
      <c r="Q74" s="92"/>
      <c r="R74" s="93"/>
      <c r="S74" s="94"/>
      <c r="T74" s="22"/>
      <c r="U74" s="27"/>
      <c r="V74" s="27"/>
      <c r="W74" s="27"/>
      <c r="X74" s="28"/>
      <c r="Y74" s="49"/>
      <c r="Z74" s="50"/>
      <c r="AA74" s="51"/>
    </row>
    <row r="75" spans="2:27" ht="15" customHeight="1" x14ac:dyDescent="0.2">
      <c r="B75" s="30"/>
      <c r="C75" s="95"/>
      <c r="D75" s="96"/>
      <c r="E75" s="97"/>
      <c r="F75" s="22"/>
      <c r="G75" s="27"/>
      <c r="H75" s="27"/>
      <c r="I75" s="27"/>
      <c r="J75" s="28"/>
      <c r="K75" s="49"/>
      <c r="L75" s="50"/>
      <c r="M75" s="51"/>
      <c r="P75" s="30"/>
      <c r="Q75" s="95"/>
      <c r="R75" s="96"/>
      <c r="S75" s="97"/>
      <c r="T75" s="22"/>
      <c r="U75" s="27"/>
      <c r="V75" s="27"/>
      <c r="W75" s="27"/>
      <c r="X75" s="28"/>
      <c r="Y75" s="49"/>
      <c r="Z75" s="50"/>
      <c r="AA75" s="51"/>
    </row>
    <row r="76" spans="2:27" ht="16" x14ac:dyDescent="0.2">
      <c r="B76" s="31"/>
      <c r="C76" s="71" t="s">
        <v>23</v>
      </c>
      <c r="D76" s="71"/>
      <c r="E76" s="71"/>
      <c r="F76" s="56"/>
      <c r="G76" s="7" t="str">
        <f>TEXT(AVERAGE(G64, G67, G70, G73), "0,0000") &amp; " ± " &amp; TEXT(STDEV(G64, G67, G70, G73), "0,0000")</f>
        <v>0,7582 ± 0,0040</v>
      </c>
      <c r="H76" s="7" t="str">
        <f>TEXT(AVERAGE(H64, H67, H70, H73), "0,0000") &amp; " ± " &amp; TEXT(STDEV(H64, H67, H70, H73), "0,0000")</f>
        <v>0,7534 ± 0,0025</v>
      </c>
      <c r="I76" s="7" t="str">
        <f t="shared" ref="H76:J76" si="8">TEXT(AVERAGE(I64, I67, I70, I73), "0,0000") &amp; " ± " &amp; TEXT(STDEV(I64, I67, I70, I73), "0,0000")</f>
        <v>0,9032 ± 0,0000</v>
      </c>
      <c r="J76" s="7" t="str">
        <f t="shared" si="8"/>
        <v>0,8831 ± 0,0081</v>
      </c>
      <c r="K76" s="52"/>
      <c r="L76" s="53"/>
      <c r="M76" s="54"/>
      <c r="P76" s="31"/>
      <c r="Q76" s="71" t="s">
        <v>23</v>
      </c>
      <c r="R76" s="71"/>
      <c r="S76" s="71"/>
      <c r="T76" s="56"/>
      <c r="U76" s="7" t="str">
        <f>TEXT(AVERAGE(U64, U67, U70, U73), "0,0000") &amp; " ± " &amp; TEXT(STDEV(U64, U67, U70, U73), "0,0000")</f>
        <v>0,7564 ± 0,0008</v>
      </c>
      <c r="V76" s="7" t="str">
        <f t="shared" ref="V76:X76" si="9">TEXT(AVERAGE(V64, V67, V70, V73), "0,0000") &amp; " ± " &amp; TEXT(STDEV(V64, V67, V70, V73), "0,0000")</f>
        <v>0,7681 ± 0,0012</v>
      </c>
      <c r="W76" s="7" t="str">
        <f t="shared" si="9"/>
        <v>0,8333 ± 0,0000</v>
      </c>
      <c r="X76" s="7" t="str">
        <f t="shared" si="9"/>
        <v>0,9167 ± 0,0000</v>
      </c>
      <c r="Y76" s="52"/>
      <c r="Z76" s="53"/>
      <c r="AA76" s="54"/>
    </row>
    <row r="79" spans="2:27" ht="15" customHeight="1" x14ac:dyDescent="0.2">
      <c r="B79" s="77" t="s">
        <v>48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9"/>
      <c r="P79" s="77" t="s">
        <v>49</v>
      </c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9"/>
    </row>
    <row r="80" spans="2:27" x14ac:dyDescent="0.2">
      <c r="B80" s="80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2"/>
      <c r="P80" s="80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2"/>
    </row>
    <row r="81" spans="2:27" ht="16" x14ac:dyDescent="0.2">
      <c r="B81" s="11" t="s">
        <v>1</v>
      </c>
      <c r="C81" s="36" t="s">
        <v>0</v>
      </c>
      <c r="D81" s="37"/>
      <c r="E81" s="37"/>
      <c r="F81" s="37"/>
      <c r="G81" s="37" t="s">
        <v>2</v>
      </c>
      <c r="H81" s="37"/>
      <c r="I81" s="37"/>
      <c r="J81" s="37"/>
      <c r="K81" s="64" t="s">
        <v>19</v>
      </c>
      <c r="L81" s="65"/>
      <c r="M81" s="66"/>
      <c r="P81" s="11" t="s">
        <v>1</v>
      </c>
      <c r="Q81" s="36" t="s">
        <v>0</v>
      </c>
      <c r="R81" s="37"/>
      <c r="S81" s="37"/>
      <c r="T81" s="37"/>
      <c r="U81" s="37" t="s">
        <v>2</v>
      </c>
      <c r="V81" s="37"/>
      <c r="W81" s="37"/>
      <c r="X81" s="37"/>
      <c r="Y81" s="64" t="s">
        <v>19</v>
      </c>
      <c r="Z81" s="65"/>
      <c r="AA81" s="66"/>
    </row>
    <row r="82" spans="2:27" ht="16" x14ac:dyDescent="0.2">
      <c r="B82" s="29" t="s">
        <v>90</v>
      </c>
      <c r="C82" s="38" t="s">
        <v>4</v>
      </c>
      <c r="D82" s="39"/>
      <c r="E82" s="39"/>
      <c r="F82" s="3" t="s">
        <v>17</v>
      </c>
      <c r="G82" s="1" t="s">
        <v>5</v>
      </c>
      <c r="H82" s="1" t="s">
        <v>6</v>
      </c>
      <c r="I82" s="2" t="s">
        <v>7</v>
      </c>
      <c r="J82" s="2" t="s">
        <v>8</v>
      </c>
      <c r="K82" s="74"/>
      <c r="L82" s="75"/>
      <c r="M82" s="76"/>
      <c r="P82" s="29" t="s">
        <v>90</v>
      </c>
      <c r="Q82" s="38" t="s">
        <v>4</v>
      </c>
      <c r="R82" s="39"/>
      <c r="S82" s="39"/>
      <c r="T82" s="3" t="s">
        <v>17</v>
      </c>
      <c r="U82" s="1" t="s">
        <v>5</v>
      </c>
      <c r="V82" s="1" t="s">
        <v>6</v>
      </c>
      <c r="W82" s="2" t="s">
        <v>7</v>
      </c>
      <c r="X82" s="2" t="s">
        <v>8</v>
      </c>
      <c r="Y82" s="74"/>
      <c r="Z82" s="75"/>
      <c r="AA82" s="76"/>
    </row>
    <row r="83" spans="2:27" ht="15" customHeight="1" x14ac:dyDescent="0.2">
      <c r="B83" s="30"/>
      <c r="C83" s="20" t="s">
        <v>99</v>
      </c>
      <c r="D83" s="21"/>
      <c r="E83" s="21"/>
      <c r="F83" s="22">
        <v>1500</v>
      </c>
      <c r="G83" s="23" t="s">
        <v>134</v>
      </c>
      <c r="H83" s="23" t="s">
        <v>135</v>
      </c>
      <c r="I83" s="23" t="s">
        <v>136</v>
      </c>
      <c r="J83" s="23" t="s">
        <v>136</v>
      </c>
      <c r="K83" s="46" t="s">
        <v>20</v>
      </c>
      <c r="L83" s="47"/>
      <c r="M83" s="48"/>
      <c r="P83" s="30"/>
      <c r="Q83" s="20" t="s">
        <v>103</v>
      </c>
      <c r="R83" s="21"/>
      <c r="S83" s="21"/>
      <c r="T83" s="22">
        <v>1500</v>
      </c>
      <c r="U83" s="23" t="s">
        <v>150</v>
      </c>
      <c r="V83" s="23" t="s">
        <v>151</v>
      </c>
      <c r="W83" s="23" t="s">
        <v>139</v>
      </c>
      <c r="X83" s="23" t="s">
        <v>140</v>
      </c>
      <c r="Y83" s="46" t="s">
        <v>20</v>
      </c>
      <c r="Z83" s="47"/>
      <c r="AA83" s="48"/>
    </row>
    <row r="84" spans="2:27" ht="15" customHeight="1" x14ac:dyDescent="0.2">
      <c r="B84" s="30"/>
      <c r="C84" s="20"/>
      <c r="D84" s="21"/>
      <c r="E84" s="21"/>
      <c r="F84" s="22"/>
      <c r="G84" s="24"/>
      <c r="H84" s="24"/>
      <c r="I84" s="24"/>
      <c r="J84" s="24"/>
      <c r="K84" s="49"/>
      <c r="L84" s="50"/>
      <c r="M84" s="51"/>
      <c r="P84" s="30"/>
      <c r="Q84" s="20"/>
      <c r="R84" s="21"/>
      <c r="S84" s="21"/>
      <c r="T84" s="22"/>
      <c r="U84" s="24"/>
      <c r="V84" s="24"/>
      <c r="W84" s="24"/>
      <c r="X84" s="24"/>
      <c r="Y84" s="49"/>
      <c r="Z84" s="50"/>
      <c r="AA84" s="51"/>
    </row>
    <row r="85" spans="2:27" ht="18.75" customHeight="1" x14ac:dyDescent="0.2">
      <c r="B85" s="30"/>
      <c r="C85" s="20"/>
      <c r="D85" s="21"/>
      <c r="E85" s="21"/>
      <c r="F85" s="22"/>
      <c r="G85" s="25"/>
      <c r="H85" s="25"/>
      <c r="I85" s="25"/>
      <c r="J85" s="25"/>
      <c r="K85" s="49"/>
      <c r="L85" s="50"/>
      <c r="M85" s="51"/>
      <c r="P85" s="30"/>
      <c r="Q85" s="20"/>
      <c r="R85" s="21"/>
      <c r="S85" s="21"/>
      <c r="T85" s="22"/>
      <c r="U85" s="25"/>
      <c r="V85" s="25"/>
      <c r="W85" s="25"/>
      <c r="X85" s="25"/>
      <c r="Y85" s="49"/>
      <c r="Z85" s="50"/>
      <c r="AA85" s="51"/>
    </row>
    <row r="86" spans="2:27" ht="15" customHeight="1" x14ac:dyDescent="0.2">
      <c r="B86" s="30"/>
      <c r="C86" s="20" t="s">
        <v>107</v>
      </c>
      <c r="D86" s="21"/>
      <c r="E86" s="21"/>
      <c r="F86" s="22">
        <v>1500</v>
      </c>
      <c r="G86" s="17" t="s">
        <v>131</v>
      </c>
      <c r="H86" s="17" t="s">
        <v>132</v>
      </c>
      <c r="I86" s="17" t="s">
        <v>125</v>
      </c>
      <c r="J86" s="23" t="s">
        <v>133</v>
      </c>
      <c r="K86" s="49"/>
      <c r="L86" s="50"/>
      <c r="M86" s="51"/>
      <c r="P86" s="30"/>
      <c r="Q86" s="20" t="s">
        <v>108</v>
      </c>
      <c r="R86" s="21"/>
      <c r="S86" s="21"/>
      <c r="T86" s="22">
        <v>1500</v>
      </c>
      <c r="U86" s="17" t="s">
        <v>149</v>
      </c>
      <c r="V86" s="17" t="s">
        <v>148</v>
      </c>
      <c r="W86" s="17" t="s">
        <v>142</v>
      </c>
      <c r="X86" s="23" t="s">
        <v>147</v>
      </c>
      <c r="Y86" s="49"/>
      <c r="Z86" s="50"/>
      <c r="AA86" s="51"/>
    </row>
    <row r="87" spans="2:27" ht="15" customHeight="1" x14ac:dyDescent="0.2">
      <c r="B87" s="30"/>
      <c r="C87" s="20"/>
      <c r="D87" s="21"/>
      <c r="E87" s="21"/>
      <c r="F87" s="22"/>
      <c r="G87" s="18"/>
      <c r="H87" s="18"/>
      <c r="I87" s="18"/>
      <c r="J87" s="24"/>
      <c r="K87" s="49"/>
      <c r="L87" s="50"/>
      <c r="M87" s="51"/>
      <c r="P87" s="30"/>
      <c r="Q87" s="20"/>
      <c r="R87" s="21"/>
      <c r="S87" s="21"/>
      <c r="T87" s="22"/>
      <c r="U87" s="18"/>
      <c r="V87" s="18"/>
      <c r="W87" s="18"/>
      <c r="X87" s="24"/>
      <c r="Y87" s="49"/>
      <c r="Z87" s="50"/>
      <c r="AA87" s="51"/>
    </row>
    <row r="88" spans="2:27" ht="15" customHeight="1" x14ac:dyDescent="0.2">
      <c r="B88" s="30"/>
      <c r="C88" s="20"/>
      <c r="D88" s="21"/>
      <c r="E88" s="21"/>
      <c r="F88" s="22"/>
      <c r="G88" s="19"/>
      <c r="H88" s="19"/>
      <c r="I88" s="19"/>
      <c r="J88" s="25"/>
      <c r="K88" s="49"/>
      <c r="L88" s="50"/>
      <c r="M88" s="51"/>
      <c r="P88" s="30"/>
      <c r="Q88" s="20"/>
      <c r="R88" s="21"/>
      <c r="S88" s="21"/>
      <c r="T88" s="22"/>
      <c r="U88" s="19"/>
      <c r="V88" s="19"/>
      <c r="W88" s="19"/>
      <c r="X88" s="25"/>
      <c r="Y88" s="49"/>
      <c r="Z88" s="50"/>
      <c r="AA88" s="51"/>
    </row>
    <row r="89" spans="2:27" ht="15" customHeight="1" x14ac:dyDescent="0.2">
      <c r="B89" s="30"/>
      <c r="C89" s="20" t="s">
        <v>100</v>
      </c>
      <c r="D89" s="21"/>
      <c r="E89" s="21"/>
      <c r="F89" s="22">
        <v>1500</v>
      </c>
      <c r="G89" s="26" t="s">
        <v>127</v>
      </c>
      <c r="H89" s="26" t="s">
        <v>128</v>
      </c>
      <c r="I89" s="27" t="s">
        <v>129</v>
      </c>
      <c r="J89" s="28" t="s">
        <v>130</v>
      </c>
      <c r="K89" s="49"/>
      <c r="L89" s="50"/>
      <c r="M89" s="51"/>
      <c r="P89" s="30"/>
      <c r="Q89" s="20" t="s">
        <v>104</v>
      </c>
      <c r="R89" s="21"/>
      <c r="S89" s="21"/>
      <c r="T89" s="22">
        <v>1500</v>
      </c>
      <c r="U89" s="26" t="s">
        <v>145</v>
      </c>
      <c r="V89" s="26" t="s">
        <v>146</v>
      </c>
      <c r="W89" s="17" t="s">
        <v>142</v>
      </c>
      <c r="X89" s="17" t="s">
        <v>142</v>
      </c>
      <c r="Y89" s="49"/>
      <c r="Z89" s="50"/>
      <c r="AA89" s="51"/>
    </row>
    <row r="90" spans="2:27" ht="15" customHeight="1" x14ac:dyDescent="0.2">
      <c r="B90" s="30"/>
      <c r="C90" s="20"/>
      <c r="D90" s="21"/>
      <c r="E90" s="21"/>
      <c r="F90" s="22"/>
      <c r="G90" s="26"/>
      <c r="H90" s="26"/>
      <c r="I90" s="27"/>
      <c r="J90" s="28"/>
      <c r="K90" s="49"/>
      <c r="L90" s="50"/>
      <c r="M90" s="51"/>
      <c r="P90" s="30"/>
      <c r="Q90" s="20"/>
      <c r="R90" s="21"/>
      <c r="S90" s="21"/>
      <c r="T90" s="22"/>
      <c r="U90" s="26"/>
      <c r="V90" s="26"/>
      <c r="W90" s="18"/>
      <c r="X90" s="18"/>
      <c r="Y90" s="49"/>
      <c r="Z90" s="50"/>
      <c r="AA90" s="51"/>
    </row>
    <row r="91" spans="2:27" ht="14.25" customHeight="1" x14ac:dyDescent="0.2">
      <c r="B91" s="30"/>
      <c r="C91" s="20"/>
      <c r="D91" s="21"/>
      <c r="E91" s="73"/>
      <c r="F91" s="22"/>
      <c r="G91" s="26"/>
      <c r="H91" s="26"/>
      <c r="I91" s="27"/>
      <c r="J91" s="28"/>
      <c r="K91" s="49"/>
      <c r="L91" s="50"/>
      <c r="M91" s="51"/>
      <c r="P91" s="30"/>
      <c r="Q91" s="20"/>
      <c r="R91" s="21"/>
      <c r="S91" s="73"/>
      <c r="T91" s="22"/>
      <c r="U91" s="26"/>
      <c r="V91" s="26"/>
      <c r="W91" s="19"/>
      <c r="X91" s="19"/>
      <c r="Y91" s="49"/>
      <c r="Z91" s="50"/>
      <c r="AA91" s="51"/>
    </row>
    <row r="92" spans="2:27" ht="15" customHeight="1" x14ac:dyDescent="0.2">
      <c r="B92" s="30"/>
      <c r="C92" s="20" t="s">
        <v>101</v>
      </c>
      <c r="D92" s="21"/>
      <c r="E92" s="21"/>
      <c r="F92" s="22">
        <v>1500</v>
      </c>
      <c r="G92" s="27" t="s">
        <v>123</v>
      </c>
      <c r="H92" s="27" t="s">
        <v>124</v>
      </c>
      <c r="I92" s="27" t="s">
        <v>125</v>
      </c>
      <c r="J92" s="28" t="s">
        <v>126</v>
      </c>
      <c r="K92" s="49"/>
      <c r="L92" s="50"/>
      <c r="M92" s="51"/>
      <c r="P92" s="30"/>
      <c r="Q92" s="20" t="s">
        <v>105</v>
      </c>
      <c r="R92" s="21"/>
      <c r="S92" s="21"/>
      <c r="T92" s="22">
        <v>1500</v>
      </c>
      <c r="U92" s="27" t="s">
        <v>144</v>
      </c>
      <c r="V92" s="27" t="s">
        <v>143</v>
      </c>
      <c r="W92" s="27" t="s">
        <v>142</v>
      </c>
      <c r="X92" s="28" t="s">
        <v>141</v>
      </c>
      <c r="Y92" s="49"/>
      <c r="Z92" s="50"/>
      <c r="AA92" s="51"/>
    </row>
    <row r="93" spans="2:27" ht="15" customHeight="1" x14ac:dyDescent="0.2">
      <c r="B93" s="30"/>
      <c r="C93" s="20"/>
      <c r="D93" s="21"/>
      <c r="E93" s="21"/>
      <c r="F93" s="22"/>
      <c r="G93" s="27"/>
      <c r="H93" s="27"/>
      <c r="I93" s="27"/>
      <c r="J93" s="28"/>
      <c r="K93" s="49"/>
      <c r="L93" s="50"/>
      <c r="M93" s="51"/>
      <c r="P93" s="30"/>
      <c r="Q93" s="20"/>
      <c r="R93" s="21"/>
      <c r="S93" s="21"/>
      <c r="T93" s="22"/>
      <c r="U93" s="27"/>
      <c r="V93" s="27"/>
      <c r="W93" s="27"/>
      <c r="X93" s="28"/>
      <c r="Y93" s="49"/>
      <c r="Z93" s="50"/>
      <c r="AA93" s="51"/>
    </row>
    <row r="94" spans="2:27" ht="15" customHeight="1" x14ac:dyDescent="0.2">
      <c r="B94" s="30"/>
      <c r="C94" s="20"/>
      <c r="D94" s="21"/>
      <c r="E94" s="73"/>
      <c r="F94" s="22"/>
      <c r="G94" s="27"/>
      <c r="H94" s="27"/>
      <c r="I94" s="27"/>
      <c r="J94" s="28"/>
      <c r="K94" s="49"/>
      <c r="L94" s="50"/>
      <c r="M94" s="51"/>
      <c r="P94" s="30"/>
      <c r="Q94" s="20"/>
      <c r="R94" s="21"/>
      <c r="S94" s="73"/>
      <c r="T94" s="22"/>
      <c r="U94" s="27"/>
      <c r="V94" s="27"/>
      <c r="W94" s="27"/>
      <c r="X94" s="28"/>
      <c r="Y94" s="49"/>
      <c r="Z94" s="50"/>
      <c r="AA94" s="51"/>
    </row>
    <row r="95" spans="2:27" ht="15" customHeight="1" x14ac:dyDescent="0.2">
      <c r="B95" s="30"/>
      <c r="C95" s="21" t="s">
        <v>102</v>
      </c>
      <c r="D95" s="21"/>
      <c r="E95" s="21"/>
      <c r="F95" s="22">
        <v>1500</v>
      </c>
      <c r="G95" s="17" t="s">
        <v>119</v>
      </c>
      <c r="H95" s="17" t="s">
        <v>120</v>
      </c>
      <c r="I95" s="17" t="s">
        <v>121</v>
      </c>
      <c r="J95" s="17" t="s">
        <v>122</v>
      </c>
      <c r="K95" s="49"/>
      <c r="L95" s="50"/>
      <c r="M95" s="51"/>
      <c r="P95" s="30"/>
      <c r="Q95" s="21" t="s">
        <v>106</v>
      </c>
      <c r="R95" s="21"/>
      <c r="S95" s="21"/>
      <c r="T95" s="22">
        <v>1500</v>
      </c>
      <c r="U95" s="17" t="s">
        <v>137</v>
      </c>
      <c r="V95" s="17" t="s">
        <v>138</v>
      </c>
      <c r="W95" s="17" t="s">
        <v>139</v>
      </c>
      <c r="X95" s="17" t="s">
        <v>140</v>
      </c>
      <c r="Y95" s="49"/>
      <c r="Z95" s="50"/>
      <c r="AA95" s="51"/>
    </row>
    <row r="96" spans="2:27" ht="15" customHeight="1" x14ac:dyDescent="0.2">
      <c r="B96" s="30"/>
      <c r="C96" s="21"/>
      <c r="D96" s="21"/>
      <c r="E96" s="21"/>
      <c r="F96" s="22"/>
      <c r="G96" s="18"/>
      <c r="H96" s="18"/>
      <c r="I96" s="18"/>
      <c r="J96" s="18"/>
      <c r="K96" s="49"/>
      <c r="L96" s="50"/>
      <c r="M96" s="51"/>
      <c r="P96" s="30"/>
      <c r="Q96" s="21"/>
      <c r="R96" s="21"/>
      <c r="S96" s="21"/>
      <c r="T96" s="22"/>
      <c r="U96" s="18"/>
      <c r="V96" s="18"/>
      <c r="W96" s="18"/>
      <c r="X96" s="18"/>
      <c r="Y96" s="49"/>
      <c r="Z96" s="50"/>
      <c r="AA96" s="51"/>
    </row>
    <row r="97" spans="2:27" ht="15.75" customHeight="1" x14ac:dyDescent="0.2">
      <c r="B97" s="31"/>
      <c r="C97" s="21"/>
      <c r="D97" s="21"/>
      <c r="E97" s="21"/>
      <c r="F97" s="22"/>
      <c r="G97" s="19"/>
      <c r="H97" s="19"/>
      <c r="I97" s="19"/>
      <c r="J97" s="19"/>
      <c r="K97" s="52"/>
      <c r="L97" s="53"/>
      <c r="M97" s="54"/>
      <c r="P97" s="31"/>
      <c r="Q97" s="21"/>
      <c r="R97" s="21"/>
      <c r="S97" s="21"/>
      <c r="T97" s="22"/>
      <c r="U97" s="19"/>
      <c r="V97" s="19"/>
      <c r="W97" s="19"/>
      <c r="X97" s="19"/>
      <c r="Y97" s="52"/>
      <c r="Z97" s="53"/>
      <c r="AA97" s="54"/>
    </row>
  </sheetData>
  <mergeCells count="318">
    <mergeCell ref="U95:U97"/>
    <mergeCell ref="V95:V97"/>
    <mergeCell ref="W95:W97"/>
    <mergeCell ref="X95:X97"/>
    <mergeCell ref="V86:V88"/>
    <mergeCell ref="Y83:AA97"/>
    <mergeCell ref="C8:E19"/>
    <mergeCell ref="C64:E75"/>
    <mergeCell ref="Q64:S75"/>
    <mergeCell ref="Q50:S61"/>
    <mergeCell ref="Q8:S19"/>
    <mergeCell ref="Q22:S33"/>
    <mergeCell ref="Q36:S47"/>
    <mergeCell ref="F39:F41"/>
    <mergeCell ref="G39:G41"/>
    <mergeCell ref="H39:H41"/>
    <mergeCell ref="I39:I41"/>
    <mergeCell ref="J39:J41"/>
    <mergeCell ref="H28:H30"/>
    <mergeCell ref="F25:F27"/>
    <mergeCell ref="G25:G27"/>
    <mergeCell ref="H25:H27"/>
    <mergeCell ref="I25:I27"/>
    <mergeCell ref="J25:J27"/>
    <mergeCell ref="B6:B7"/>
    <mergeCell ref="C7:E7"/>
    <mergeCell ref="F8:F10"/>
    <mergeCell ref="G8:G10"/>
    <mergeCell ref="K6:M7"/>
    <mergeCell ref="G11:G13"/>
    <mergeCell ref="G22:G24"/>
    <mergeCell ref="H22:H24"/>
    <mergeCell ref="C6:F6"/>
    <mergeCell ref="G6:J6"/>
    <mergeCell ref="H8:H10"/>
    <mergeCell ref="I8:I10"/>
    <mergeCell ref="J8:J10"/>
    <mergeCell ref="F22:F24"/>
    <mergeCell ref="J11:J13"/>
    <mergeCell ref="F17:F19"/>
    <mergeCell ref="G14:G16"/>
    <mergeCell ref="J14:J16"/>
    <mergeCell ref="G17:G19"/>
    <mergeCell ref="H17:H19"/>
    <mergeCell ref="I17:I19"/>
    <mergeCell ref="I22:I24"/>
    <mergeCell ref="J22:J24"/>
    <mergeCell ref="C21:J21"/>
    <mergeCell ref="B4:M5"/>
    <mergeCell ref="F36:F38"/>
    <mergeCell ref="G36:G38"/>
    <mergeCell ref="H36:H38"/>
    <mergeCell ref="I36:I38"/>
    <mergeCell ref="C34:F34"/>
    <mergeCell ref="F11:F13"/>
    <mergeCell ref="H11:H13"/>
    <mergeCell ref="I11:I13"/>
    <mergeCell ref="F14:F16"/>
    <mergeCell ref="H14:H16"/>
    <mergeCell ref="I14:I16"/>
    <mergeCell ref="I28:I30"/>
    <mergeCell ref="J28:J30"/>
    <mergeCell ref="F31:F33"/>
    <mergeCell ref="G31:G33"/>
    <mergeCell ref="H31:H33"/>
    <mergeCell ref="I31:I33"/>
    <mergeCell ref="J31:J33"/>
    <mergeCell ref="J36:J38"/>
    <mergeCell ref="J17:J19"/>
    <mergeCell ref="C20:F20"/>
    <mergeCell ref="F28:F30"/>
    <mergeCell ref="G28:G30"/>
    <mergeCell ref="G59:G61"/>
    <mergeCell ref="H59:H61"/>
    <mergeCell ref="I59:I61"/>
    <mergeCell ref="J59:J61"/>
    <mergeCell ref="C35:J35"/>
    <mergeCell ref="C22:E33"/>
    <mergeCell ref="C36:E47"/>
    <mergeCell ref="I42:I44"/>
    <mergeCell ref="J42:J44"/>
    <mergeCell ref="F45:F47"/>
    <mergeCell ref="F42:F44"/>
    <mergeCell ref="G42:G44"/>
    <mergeCell ref="H42:H44"/>
    <mergeCell ref="J67:J69"/>
    <mergeCell ref="C62:F62"/>
    <mergeCell ref="F64:F66"/>
    <mergeCell ref="G64:G66"/>
    <mergeCell ref="H64:H66"/>
    <mergeCell ref="I64:I66"/>
    <mergeCell ref="C63:J63"/>
    <mergeCell ref="G45:G47"/>
    <mergeCell ref="H45:H47"/>
    <mergeCell ref="I45:I47"/>
    <mergeCell ref="J45:J47"/>
    <mergeCell ref="F56:F58"/>
    <mergeCell ref="F59:F61"/>
    <mergeCell ref="G50:G52"/>
    <mergeCell ref="H50:H52"/>
    <mergeCell ref="G56:G58"/>
    <mergeCell ref="H56:H58"/>
    <mergeCell ref="C48:F48"/>
    <mergeCell ref="F50:F52"/>
    <mergeCell ref="F53:F55"/>
    <mergeCell ref="C49:J49"/>
    <mergeCell ref="C50:E61"/>
    <mergeCell ref="I56:I58"/>
    <mergeCell ref="J56:J58"/>
    <mergeCell ref="P4:AA5"/>
    <mergeCell ref="P6:P7"/>
    <mergeCell ref="Q6:T6"/>
    <mergeCell ref="U6:X6"/>
    <mergeCell ref="Y6:AA7"/>
    <mergeCell ref="Q7:S7"/>
    <mergeCell ref="P8:P76"/>
    <mergeCell ref="F73:F75"/>
    <mergeCell ref="G73:G75"/>
    <mergeCell ref="H73:H75"/>
    <mergeCell ref="I73:I75"/>
    <mergeCell ref="J73:J75"/>
    <mergeCell ref="F70:F72"/>
    <mergeCell ref="G70:G72"/>
    <mergeCell ref="H70:H72"/>
    <mergeCell ref="I70:I72"/>
    <mergeCell ref="J70:J72"/>
    <mergeCell ref="J64:J66"/>
    <mergeCell ref="Y8:AA76"/>
    <mergeCell ref="T11:T13"/>
    <mergeCell ref="U11:U13"/>
    <mergeCell ref="I50:I52"/>
    <mergeCell ref="J50:J52"/>
    <mergeCell ref="G53:G55"/>
    <mergeCell ref="V11:V13"/>
    <mergeCell ref="W11:W13"/>
    <mergeCell ref="X11:X13"/>
    <mergeCell ref="T14:T16"/>
    <mergeCell ref="U14:U16"/>
    <mergeCell ref="T8:T10"/>
    <mergeCell ref="U8:U10"/>
    <mergeCell ref="V8:V10"/>
    <mergeCell ref="W8:W10"/>
    <mergeCell ref="X8:X10"/>
    <mergeCell ref="V14:V16"/>
    <mergeCell ref="W14:W16"/>
    <mergeCell ref="X14:X16"/>
    <mergeCell ref="T28:T30"/>
    <mergeCell ref="U28:U30"/>
    <mergeCell ref="V28:V30"/>
    <mergeCell ref="W28:W30"/>
    <mergeCell ref="X28:X30"/>
    <mergeCell ref="T17:T19"/>
    <mergeCell ref="U17:U19"/>
    <mergeCell ref="V17:V19"/>
    <mergeCell ref="W17:W19"/>
    <mergeCell ref="X17:X19"/>
    <mergeCell ref="X22:X24"/>
    <mergeCell ref="T25:T27"/>
    <mergeCell ref="U25:U27"/>
    <mergeCell ref="V25:V27"/>
    <mergeCell ref="W25:W27"/>
    <mergeCell ref="X25:X27"/>
    <mergeCell ref="Q20:T20"/>
    <mergeCell ref="T22:T24"/>
    <mergeCell ref="U22:U24"/>
    <mergeCell ref="V22:V24"/>
    <mergeCell ref="W22:W24"/>
    <mergeCell ref="Q21:X21"/>
    <mergeCell ref="Q34:T34"/>
    <mergeCell ref="T36:T38"/>
    <mergeCell ref="U36:U38"/>
    <mergeCell ref="V36:V38"/>
    <mergeCell ref="W36:W38"/>
    <mergeCell ref="Q35:X35"/>
    <mergeCell ref="T31:T33"/>
    <mergeCell ref="U31:U33"/>
    <mergeCell ref="V31:V33"/>
    <mergeCell ref="W31:W33"/>
    <mergeCell ref="X31:X33"/>
    <mergeCell ref="T42:T44"/>
    <mergeCell ref="U42:U44"/>
    <mergeCell ref="V42:V44"/>
    <mergeCell ref="W42:W44"/>
    <mergeCell ref="X42:X44"/>
    <mergeCell ref="X36:X38"/>
    <mergeCell ref="T39:T41"/>
    <mergeCell ref="U39:U41"/>
    <mergeCell ref="V39:V41"/>
    <mergeCell ref="W39:W41"/>
    <mergeCell ref="X39:X41"/>
    <mergeCell ref="Q48:T48"/>
    <mergeCell ref="T50:T52"/>
    <mergeCell ref="U50:U52"/>
    <mergeCell ref="V50:V52"/>
    <mergeCell ref="W50:W52"/>
    <mergeCell ref="Q49:X49"/>
    <mergeCell ref="T45:T47"/>
    <mergeCell ref="U45:U47"/>
    <mergeCell ref="V45:V47"/>
    <mergeCell ref="W45:W47"/>
    <mergeCell ref="X45:X47"/>
    <mergeCell ref="T56:T58"/>
    <mergeCell ref="U56:U58"/>
    <mergeCell ref="V56:V58"/>
    <mergeCell ref="W56:W58"/>
    <mergeCell ref="X56:X58"/>
    <mergeCell ref="X50:X52"/>
    <mergeCell ref="T53:T55"/>
    <mergeCell ref="U53:U55"/>
    <mergeCell ref="V53:V55"/>
    <mergeCell ref="W53:W55"/>
    <mergeCell ref="X53:X55"/>
    <mergeCell ref="Q62:T62"/>
    <mergeCell ref="T64:T66"/>
    <mergeCell ref="U64:U66"/>
    <mergeCell ref="V64:V66"/>
    <mergeCell ref="W64:W66"/>
    <mergeCell ref="Q63:X63"/>
    <mergeCell ref="T59:T61"/>
    <mergeCell ref="U59:U61"/>
    <mergeCell ref="V59:V61"/>
    <mergeCell ref="W59:W61"/>
    <mergeCell ref="X59:X61"/>
    <mergeCell ref="T70:T72"/>
    <mergeCell ref="U70:U72"/>
    <mergeCell ref="V70:V72"/>
    <mergeCell ref="W70:W72"/>
    <mergeCell ref="X70:X72"/>
    <mergeCell ref="X64:X66"/>
    <mergeCell ref="T67:T69"/>
    <mergeCell ref="U67:U69"/>
    <mergeCell ref="V67:V69"/>
    <mergeCell ref="W67:W69"/>
    <mergeCell ref="X67:X69"/>
    <mergeCell ref="Q76:T76"/>
    <mergeCell ref="T73:T75"/>
    <mergeCell ref="U73:U75"/>
    <mergeCell ref="V73:V75"/>
    <mergeCell ref="W73:W75"/>
    <mergeCell ref="C76:F76"/>
    <mergeCell ref="B79:M80"/>
    <mergeCell ref="C81:F81"/>
    <mergeCell ref="G81:J81"/>
    <mergeCell ref="K81:M82"/>
    <mergeCell ref="C82:E82"/>
    <mergeCell ref="P79:AA80"/>
    <mergeCell ref="Q81:T81"/>
    <mergeCell ref="U81:X81"/>
    <mergeCell ref="X73:X75"/>
    <mergeCell ref="B8:B76"/>
    <mergeCell ref="K8:M76"/>
    <mergeCell ref="H53:H55"/>
    <mergeCell ref="I53:I55"/>
    <mergeCell ref="J53:J55"/>
    <mergeCell ref="F67:F69"/>
    <mergeCell ref="G67:G69"/>
    <mergeCell ref="H67:H69"/>
    <mergeCell ref="I67:I69"/>
    <mergeCell ref="Y81:AA82"/>
    <mergeCell ref="Q82:S82"/>
    <mergeCell ref="Q83:S85"/>
    <mergeCell ref="T83:T85"/>
    <mergeCell ref="U83:U85"/>
    <mergeCell ref="V83:V85"/>
    <mergeCell ref="W83:W85"/>
    <mergeCell ref="X83:X85"/>
    <mergeCell ref="B82:B97"/>
    <mergeCell ref="P82:P97"/>
    <mergeCell ref="W86:W88"/>
    <mergeCell ref="X86:X88"/>
    <mergeCell ref="Q89:S91"/>
    <mergeCell ref="T89:T91"/>
    <mergeCell ref="U89:U91"/>
    <mergeCell ref="V89:V91"/>
    <mergeCell ref="W89:W91"/>
    <mergeCell ref="X89:X91"/>
    <mergeCell ref="Q92:S94"/>
    <mergeCell ref="T92:T94"/>
    <mergeCell ref="U92:U94"/>
    <mergeCell ref="V92:V94"/>
    <mergeCell ref="W92:W94"/>
    <mergeCell ref="X92:X94"/>
    <mergeCell ref="C95:E97"/>
    <mergeCell ref="F95:F97"/>
    <mergeCell ref="G95:G97"/>
    <mergeCell ref="H95:H97"/>
    <mergeCell ref="I95:I97"/>
    <mergeCell ref="J95:J97"/>
    <mergeCell ref="Q86:S88"/>
    <mergeCell ref="Q95:S97"/>
    <mergeCell ref="T95:T97"/>
    <mergeCell ref="I86:I88"/>
    <mergeCell ref="J86:J88"/>
    <mergeCell ref="K83:M97"/>
    <mergeCell ref="C83:E85"/>
    <mergeCell ref="F83:F85"/>
    <mergeCell ref="G83:G85"/>
    <mergeCell ref="H83:H85"/>
    <mergeCell ref="I83:I85"/>
    <mergeCell ref="J83:J85"/>
    <mergeCell ref="T86:T88"/>
    <mergeCell ref="U86:U88"/>
    <mergeCell ref="F92:F94"/>
    <mergeCell ref="C89:E91"/>
    <mergeCell ref="F89:F91"/>
    <mergeCell ref="G89:G91"/>
    <mergeCell ref="H89:H91"/>
    <mergeCell ref="I89:I91"/>
    <mergeCell ref="J89:J91"/>
    <mergeCell ref="C92:E94"/>
    <mergeCell ref="J92:J94"/>
    <mergeCell ref="G92:G94"/>
    <mergeCell ref="H92:H94"/>
    <mergeCell ref="I92:I94"/>
    <mergeCell ref="C86:E88"/>
    <mergeCell ref="F86:F88"/>
    <mergeCell ref="G86:G88"/>
    <mergeCell ref="H86:H88"/>
  </mergeCells>
  <hyperlinks>
    <hyperlink ref="I7" r:id="rId1" xr:uid="{00000000-0004-0000-0100-000000000000}"/>
    <hyperlink ref="J7" r:id="rId2" xr:uid="{00000000-0004-0000-0100-000001000000}"/>
    <hyperlink ref="W7" r:id="rId3" xr:uid="{00000000-0004-0000-0100-000002000000}"/>
    <hyperlink ref="X7" r:id="rId4" xr:uid="{00000000-0004-0000-0100-000003000000}"/>
    <hyperlink ref="I82" r:id="rId5" xr:uid="{00000000-0004-0000-0100-000004000000}"/>
    <hyperlink ref="J82" r:id="rId6" xr:uid="{00000000-0004-0000-0100-000005000000}"/>
    <hyperlink ref="W82" r:id="rId7" xr:uid="{00000000-0004-0000-0100-000006000000}"/>
    <hyperlink ref="X82" r:id="rId8" xr:uid="{00000000-0004-0000-0100-000007000000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42"/>
  <sheetViews>
    <sheetView tabSelected="1" topLeftCell="A13" zoomScale="90" zoomScaleNormal="70" workbookViewId="0">
      <selection activeCell="N42" sqref="N42"/>
    </sheetView>
  </sheetViews>
  <sheetFormatPr baseColWidth="10" defaultColWidth="8.83203125" defaultRowHeight="15" x14ac:dyDescent="0.2"/>
  <cols>
    <col min="5" max="5" width="32.5" customWidth="1"/>
    <col min="14" max="14" width="35.5" customWidth="1"/>
    <col min="19" max="19" width="34.6640625" customWidth="1"/>
  </cols>
  <sheetData>
    <row r="1" spans="1:28" ht="74.25" customHeight="1" x14ac:dyDescent="0.2">
      <c r="B1" s="104" t="s">
        <v>95</v>
      </c>
      <c r="C1" s="104"/>
      <c r="D1" s="104"/>
      <c r="E1" s="104"/>
      <c r="F1" s="12" t="s">
        <v>98</v>
      </c>
    </row>
    <row r="2" spans="1:28" ht="96" customHeight="1" x14ac:dyDescent="0.2">
      <c r="B2" s="105" t="s">
        <v>96</v>
      </c>
      <c r="C2" s="104"/>
      <c r="D2" s="104"/>
      <c r="E2" s="104"/>
    </row>
    <row r="3" spans="1:28" ht="108" customHeight="1" x14ac:dyDescent="0.2">
      <c r="B3" s="106" t="s">
        <v>113</v>
      </c>
      <c r="C3" s="107"/>
      <c r="D3" s="107"/>
      <c r="E3" s="107"/>
      <c r="F3" s="110"/>
      <c r="G3" s="110"/>
      <c r="H3" s="110"/>
      <c r="I3" s="110"/>
      <c r="J3" s="110"/>
      <c r="K3" s="110"/>
      <c r="L3" s="110"/>
      <c r="M3" s="110"/>
    </row>
    <row r="4" spans="1:28" ht="174" customHeight="1" x14ac:dyDescent="0.2">
      <c r="A4" t="s">
        <v>97</v>
      </c>
      <c r="B4" s="108" t="s">
        <v>115</v>
      </c>
      <c r="C4" s="109"/>
      <c r="D4" s="109"/>
      <c r="E4" s="109"/>
      <c r="N4" s="15"/>
    </row>
    <row r="5" spans="1:28" x14ac:dyDescent="0.2">
      <c r="B5" s="77" t="s">
        <v>50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9"/>
      <c r="P5" s="77" t="s">
        <v>60</v>
      </c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</row>
    <row r="6" spans="1:28" x14ac:dyDescent="0.2">
      <c r="B6" s="80"/>
      <c r="C6" s="81"/>
      <c r="D6" s="81"/>
      <c r="E6" s="81"/>
      <c r="F6" s="81"/>
      <c r="G6" s="81"/>
      <c r="H6" s="81"/>
      <c r="I6" s="81"/>
      <c r="J6" s="81"/>
      <c r="K6" s="81"/>
      <c r="L6" s="81"/>
      <c r="M6" s="82"/>
      <c r="P6" s="80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</row>
    <row r="7" spans="1:28" ht="16" x14ac:dyDescent="0.2">
      <c r="B7" s="11" t="s">
        <v>1</v>
      </c>
      <c r="C7" s="36" t="s">
        <v>0</v>
      </c>
      <c r="D7" s="37"/>
      <c r="E7" s="37"/>
      <c r="F7" s="37"/>
      <c r="G7" s="37" t="s">
        <v>2</v>
      </c>
      <c r="H7" s="37"/>
      <c r="I7" s="37"/>
      <c r="J7" s="37"/>
      <c r="K7" s="64" t="s">
        <v>19</v>
      </c>
      <c r="L7" s="65"/>
      <c r="M7" s="66"/>
      <c r="P7" s="11" t="s">
        <v>1</v>
      </c>
      <c r="Q7" s="36" t="s">
        <v>0</v>
      </c>
      <c r="R7" s="37"/>
      <c r="S7" s="37"/>
      <c r="T7" s="37"/>
      <c r="U7" s="37" t="s">
        <v>2</v>
      </c>
      <c r="V7" s="37"/>
      <c r="W7" s="37"/>
      <c r="X7" s="37"/>
      <c r="Y7" s="64" t="s">
        <v>19</v>
      </c>
      <c r="Z7" s="65"/>
      <c r="AA7" s="66"/>
    </row>
    <row r="8" spans="1:28" ht="16" x14ac:dyDescent="0.2">
      <c r="B8" s="29" t="s">
        <v>90</v>
      </c>
      <c r="C8" s="38" t="s">
        <v>4</v>
      </c>
      <c r="D8" s="39"/>
      <c r="E8" s="39"/>
      <c r="F8" s="3" t="s">
        <v>17</v>
      </c>
      <c r="G8" s="1" t="s">
        <v>5</v>
      </c>
      <c r="H8" s="1" t="s">
        <v>6</v>
      </c>
      <c r="I8" s="2" t="s">
        <v>7</v>
      </c>
      <c r="J8" s="2" t="s">
        <v>8</v>
      </c>
      <c r="K8" s="74"/>
      <c r="L8" s="75"/>
      <c r="M8" s="76"/>
      <c r="P8" s="29" t="s">
        <v>90</v>
      </c>
      <c r="Q8" s="38" t="s">
        <v>4</v>
      </c>
      <c r="R8" s="39"/>
      <c r="S8" s="39"/>
      <c r="T8" s="3" t="s">
        <v>17</v>
      </c>
      <c r="U8" s="1" t="s">
        <v>5</v>
      </c>
      <c r="V8" s="1" t="s">
        <v>6</v>
      </c>
      <c r="W8" s="2" t="s">
        <v>7</v>
      </c>
      <c r="X8" s="2" t="s">
        <v>8</v>
      </c>
      <c r="Y8" s="74"/>
      <c r="Z8" s="75"/>
      <c r="AA8" s="76"/>
    </row>
    <row r="9" spans="1:28" ht="15" customHeight="1" x14ac:dyDescent="0.2">
      <c r="B9" s="30"/>
      <c r="C9" s="20" t="s">
        <v>57</v>
      </c>
      <c r="D9" s="21"/>
      <c r="E9" s="21"/>
      <c r="F9" s="22">
        <v>1500</v>
      </c>
      <c r="G9" s="27">
        <v>0.81910000000000005</v>
      </c>
      <c r="H9" s="17">
        <v>0.81159999999999999</v>
      </c>
      <c r="I9" s="17">
        <v>0.9355</v>
      </c>
      <c r="J9" s="23">
        <v>0.9194</v>
      </c>
      <c r="K9" s="46" t="s">
        <v>20</v>
      </c>
      <c r="L9" s="47"/>
      <c r="M9" s="48"/>
      <c r="N9" t="s">
        <v>94</v>
      </c>
      <c r="P9" s="30"/>
      <c r="Q9" s="20" t="s">
        <v>35</v>
      </c>
      <c r="R9" s="21"/>
      <c r="S9" s="21"/>
      <c r="T9" s="22">
        <v>1500</v>
      </c>
      <c r="U9" s="17">
        <v>0.74250000000000005</v>
      </c>
      <c r="V9" s="17">
        <v>0.75419999999999998</v>
      </c>
      <c r="W9" s="58">
        <v>0.83330000000000004</v>
      </c>
      <c r="X9" s="58">
        <v>0.83330000000000004</v>
      </c>
      <c r="Y9" s="46" t="s">
        <v>20</v>
      </c>
      <c r="Z9" s="47"/>
      <c r="AA9" s="48"/>
    </row>
    <row r="10" spans="1:28" ht="15" customHeight="1" x14ac:dyDescent="0.2">
      <c r="B10" s="30"/>
      <c r="C10" s="20"/>
      <c r="D10" s="21"/>
      <c r="E10" s="21"/>
      <c r="F10" s="22"/>
      <c r="G10" s="27"/>
      <c r="H10" s="18"/>
      <c r="I10" s="18"/>
      <c r="J10" s="24"/>
      <c r="K10" s="49"/>
      <c r="L10" s="50"/>
      <c r="M10" s="51"/>
      <c r="N10" s="103" t="s">
        <v>93</v>
      </c>
      <c r="P10" s="30"/>
      <c r="Q10" s="20"/>
      <c r="R10" s="21"/>
      <c r="S10" s="21"/>
      <c r="T10" s="22"/>
      <c r="U10" s="18"/>
      <c r="V10" s="18"/>
      <c r="W10" s="59"/>
      <c r="X10" s="59"/>
      <c r="Y10" s="49"/>
      <c r="Z10" s="50"/>
      <c r="AA10" s="51"/>
    </row>
    <row r="11" spans="1:28" ht="15" customHeight="1" x14ac:dyDescent="0.2">
      <c r="B11" s="30"/>
      <c r="C11" s="20"/>
      <c r="D11" s="21"/>
      <c r="E11" s="21"/>
      <c r="F11" s="22"/>
      <c r="G11" s="27"/>
      <c r="H11" s="19"/>
      <c r="I11" s="19"/>
      <c r="J11" s="25"/>
      <c r="K11" s="49"/>
      <c r="L11" s="50"/>
      <c r="M11" s="51"/>
      <c r="N11" s="103"/>
      <c r="P11" s="30"/>
      <c r="Q11" s="20"/>
      <c r="R11" s="21"/>
      <c r="S11" s="21"/>
      <c r="T11" s="22"/>
      <c r="U11" s="19"/>
      <c r="V11" s="19"/>
      <c r="W11" s="60"/>
      <c r="X11" s="60"/>
      <c r="Y11" s="49"/>
      <c r="Z11" s="50"/>
      <c r="AA11" s="51"/>
    </row>
    <row r="12" spans="1:28" ht="15" customHeight="1" x14ac:dyDescent="0.2">
      <c r="B12" s="30"/>
      <c r="C12" s="20" t="s">
        <v>114</v>
      </c>
      <c r="D12" s="21"/>
      <c r="E12" s="21"/>
      <c r="F12" s="22">
        <v>1500</v>
      </c>
      <c r="G12" s="22">
        <v>0.82979999999999998</v>
      </c>
      <c r="H12" s="22">
        <v>0.82330000000000003</v>
      </c>
      <c r="I12" s="22">
        <v>0.9355</v>
      </c>
      <c r="J12" s="55">
        <v>0.9194</v>
      </c>
      <c r="K12" s="49"/>
      <c r="L12" s="50"/>
      <c r="M12" s="51"/>
      <c r="N12" s="14"/>
      <c r="P12" s="30"/>
      <c r="Q12" s="20" t="s">
        <v>112</v>
      </c>
      <c r="R12" s="21"/>
      <c r="S12" s="21"/>
      <c r="T12" s="22">
        <v>1500</v>
      </c>
      <c r="U12" s="22">
        <v>0.79549999999999998</v>
      </c>
      <c r="V12" s="27">
        <v>0.82</v>
      </c>
      <c r="W12" s="17">
        <v>1</v>
      </c>
      <c r="X12" s="17">
        <v>1</v>
      </c>
      <c r="Y12" s="49"/>
      <c r="Z12" s="50"/>
      <c r="AA12" s="51"/>
      <c r="AB12" t="s">
        <v>89</v>
      </c>
    </row>
    <row r="13" spans="1:28" ht="15" customHeight="1" x14ac:dyDescent="0.2">
      <c r="B13" s="30"/>
      <c r="C13" s="20"/>
      <c r="D13" s="21"/>
      <c r="E13" s="21"/>
      <c r="F13" s="22"/>
      <c r="G13" s="22"/>
      <c r="H13" s="22"/>
      <c r="I13" s="22"/>
      <c r="J13" s="55"/>
      <c r="K13" s="49"/>
      <c r="L13" s="50"/>
      <c r="M13" s="51"/>
      <c r="P13" s="30"/>
      <c r="Q13" s="20"/>
      <c r="R13" s="21"/>
      <c r="S13" s="21"/>
      <c r="T13" s="22"/>
      <c r="U13" s="22"/>
      <c r="V13" s="27"/>
      <c r="W13" s="18"/>
      <c r="X13" s="18"/>
      <c r="Y13" s="49"/>
      <c r="Z13" s="50"/>
      <c r="AA13" s="51"/>
    </row>
    <row r="14" spans="1:28" ht="15" customHeight="1" x14ac:dyDescent="0.2">
      <c r="B14" s="30"/>
      <c r="C14" s="20"/>
      <c r="D14" s="21"/>
      <c r="E14" s="21"/>
      <c r="F14" s="22"/>
      <c r="G14" s="22"/>
      <c r="H14" s="22"/>
      <c r="I14" s="22"/>
      <c r="J14" s="55"/>
      <c r="K14" s="49"/>
      <c r="L14" s="50"/>
      <c r="M14" s="51"/>
      <c r="P14" s="30"/>
      <c r="Q14" s="20"/>
      <c r="R14" s="21"/>
      <c r="S14" s="21"/>
      <c r="T14" s="22"/>
      <c r="U14" s="22"/>
      <c r="V14" s="27"/>
      <c r="W14" s="19"/>
      <c r="X14" s="19"/>
      <c r="Y14" s="49"/>
      <c r="Z14" s="50"/>
      <c r="AA14" s="51"/>
    </row>
    <row r="15" spans="1:28" ht="15" customHeight="1" x14ac:dyDescent="0.2">
      <c r="B15" s="30"/>
      <c r="C15" s="20" t="s">
        <v>42</v>
      </c>
      <c r="D15" s="21"/>
      <c r="E15" s="21"/>
      <c r="F15" s="22">
        <v>1500</v>
      </c>
      <c r="G15" s="26">
        <v>0.83289999999999997</v>
      </c>
      <c r="H15" s="26">
        <v>0.82920000000000005</v>
      </c>
      <c r="I15" s="27">
        <v>1</v>
      </c>
      <c r="J15" s="28">
        <v>0.9194</v>
      </c>
      <c r="K15" s="49"/>
      <c r="L15" s="50"/>
      <c r="M15" s="51"/>
      <c r="N15" t="s">
        <v>89</v>
      </c>
      <c r="P15" s="30"/>
      <c r="Q15" s="20" t="s">
        <v>34</v>
      </c>
      <c r="R15" s="21"/>
      <c r="S15" s="21"/>
      <c r="T15" s="22">
        <v>1500</v>
      </c>
      <c r="U15" s="26">
        <v>0.83609999999999995</v>
      </c>
      <c r="V15" s="26">
        <v>0.83609999999999995</v>
      </c>
      <c r="W15" s="17">
        <v>1</v>
      </c>
      <c r="X15" s="17">
        <v>1</v>
      </c>
      <c r="Y15" s="49"/>
      <c r="Z15" s="50"/>
      <c r="AA15" s="51"/>
    </row>
    <row r="16" spans="1:28" ht="15" customHeight="1" x14ac:dyDescent="0.2">
      <c r="B16" s="30"/>
      <c r="C16" s="20"/>
      <c r="D16" s="21"/>
      <c r="E16" s="21"/>
      <c r="F16" s="22"/>
      <c r="G16" s="26"/>
      <c r="H16" s="26"/>
      <c r="I16" s="27"/>
      <c r="J16" s="28"/>
      <c r="K16" s="49"/>
      <c r="L16" s="50"/>
      <c r="M16" s="51"/>
      <c r="P16" s="30"/>
      <c r="Q16" s="20"/>
      <c r="R16" s="21"/>
      <c r="S16" s="21"/>
      <c r="T16" s="22"/>
      <c r="U16" s="26"/>
      <c r="V16" s="26"/>
      <c r="W16" s="18"/>
      <c r="X16" s="18"/>
      <c r="Y16" s="49"/>
      <c r="Z16" s="50"/>
      <c r="AA16" s="51"/>
    </row>
    <row r="17" spans="2:28" ht="15" customHeight="1" x14ac:dyDescent="0.2">
      <c r="B17" s="30"/>
      <c r="C17" s="20"/>
      <c r="D17" s="21"/>
      <c r="E17" s="73"/>
      <c r="F17" s="22"/>
      <c r="G17" s="26"/>
      <c r="H17" s="26"/>
      <c r="I17" s="27"/>
      <c r="J17" s="28"/>
      <c r="K17" s="49"/>
      <c r="L17" s="50"/>
      <c r="M17" s="51"/>
      <c r="P17" s="30"/>
      <c r="Q17" s="20"/>
      <c r="R17" s="21"/>
      <c r="S17" s="73"/>
      <c r="T17" s="22"/>
      <c r="U17" s="26"/>
      <c r="V17" s="26"/>
      <c r="W17" s="19"/>
      <c r="X17" s="19"/>
      <c r="Y17" s="49"/>
      <c r="Z17" s="50"/>
      <c r="AA17" s="51"/>
    </row>
    <row r="18" spans="2:28" ht="15" customHeight="1" x14ac:dyDescent="0.2">
      <c r="B18" s="30"/>
      <c r="C18" s="20" t="s">
        <v>51</v>
      </c>
      <c r="D18" s="21"/>
      <c r="E18" s="21"/>
      <c r="F18" s="22">
        <v>1500</v>
      </c>
      <c r="G18" s="27">
        <v>0.8286</v>
      </c>
      <c r="H18" s="27">
        <v>0.82609999999999995</v>
      </c>
      <c r="I18" s="27">
        <v>0.9355</v>
      </c>
      <c r="J18" s="28">
        <v>0.9355</v>
      </c>
      <c r="K18" s="49"/>
      <c r="L18" s="50"/>
      <c r="M18" s="51"/>
      <c r="P18" s="30"/>
      <c r="Q18" s="20" t="s">
        <v>64</v>
      </c>
      <c r="R18" s="21"/>
      <c r="S18" s="21"/>
      <c r="T18" s="22">
        <v>1500</v>
      </c>
      <c r="U18" s="27">
        <v>0.82850000000000001</v>
      </c>
      <c r="V18" s="27">
        <v>0.83860000000000001</v>
      </c>
      <c r="W18" s="27">
        <v>1</v>
      </c>
      <c r="X18" s="27">
        <v>1</v>
      </c>
      <c r="Y18" s="49"/>
      <c r="Z18" s="50"/>
      <c r="AA18" s="51"/>
    </row>
    <row r="19" spans="2:28" ht="15" customHeight="1" x14ac:dyDescent="0.2">
      <c r="B19" s="30"/>
      <c r="C19" s="20"/>
      <c r="D19" s="21"/>
      <c r="E19" s="21"/>
      <c r="F19" s="22"/>
      <c r="G19" s="27"/>
      <c r="H19" s="27"/>
      <c r="I19" s="27"/>
      <c r="J19" s="28"/>
      <c r="K19" s="49"/>
      <c r="L19" s="50"/>
      <c r="M19" s="51"/>
      <c r="P19" s="30"/>
      <c r="Q19" s="20"/>
      <c r="R19" s="21"/>
      <c r="S19" s="21"/>
      <c r="T19" s="22"/>
      <c r="U19" s="27"/>
      <c r="V19" s="27"/>
      <c r="W19" s="27"/>
      <c r="X19" s="27"/>
      <c r="Y19" s="49"/>
      <c r="Z19" s="50"/>
      <c r="AA19" s="51"/>
    </row>
    <row r="20" spans="2:28" ht="15" customHeight="1" x14ac:dyDescent="0.2">
      <c r="B20" s="30"/>
      <c r="C20" s="20"/>
      <c r="D20" s="21"/>
      <c r="E20" s="73"/>
      <c r="F20" s="22"/>
      <c r="G20" s="27"/>
      <c r="H20" s="27"/>
      <c r="I20" s="27"/>
      <c r="J20" s="28"/>
      <c r="K20" s="49"/>
      <c r="L20" s="50"/>
      <c r="M20" s="51"/>
      <c r="P20" s="30"/>
      <c r="Q20" s="20"/>
      <c r="R20" s="21"/>
      <c r="S20" s="73"/>
      <c r="T20" s="22"/>
      <c r="U20" s="27"/>
      <c r="V20" s="27"/>
      <c r="W20" s="27"/>
      <c r="X20" s="27"/>
      <c r="Y20" s="49"/>
      <c r="Z20" s="50"/>
      <c r="AA20" s="51"/>
    </row>
    <row r="21" spans="2:28" ht="15.75" customHeight="1" x14ac:dyDescent="0.2">
      <c r="B21" s="30"/>
      <c r="C21" s="21" t="s">
        <v>52</v>
      </c>
      <c r="D21" s="21"/>
      <c r="E21" s="21"/>
      <c r="F21" s="22">
        <v>1500</v>
      </c>
      <c r="G21" s="27">
        <v>0.80069999999999997</v>
      </c>
      <c r="H21" s="27">
        <v>0.78800000000000003</v>
      </c>
      <c r="I21" s="27">
        <v>0.9355</v>
      </c>
      <c r="J21" s="28">
        <v>0.8871</v>
      </c>
      <c r="K21" s="49"/>
      <c r="L21" s="50"/>
      <c r="M21" s="51"/>
      <c r="P21" s="30"/>
      <c r="Q21" s="21" t="s">
        <v>65</v>
      </c>
      <c r="R21" s="21"/>
      <c r="S21" s="21"/>
      <c r="T21" s="22">
        <v>1500</v>
      </c>
      <c r="U21" s="27">
        <v>0.78069999999999995</v>
      </c>
      <c r="V21" s="27">
        <v>0.77710000000000001</v>
      </c>
      <c r="W21" s="27">
        <v>0.83330000000000004</v>
      </c>
      <c r="X21" s="28">
        <v>0.91669999999999996</v>
      </c>
      <c r="Y21" s="49"/>
      <c r="Z21" s="50"/>
      <c r="AA21" s="51"/>
    </row>
    <row r="22" spans="2:28" ht="15" customHeight="1" x14ac:dyDescent="0.2">
      <c r="B22" s="30"/>
      <c r="C22" s="21"/>
      <c r="D22" s="21"/>
      <c r="E22" s="21"/>
      <c r="F22" s="22"/>
      <c r="G22" s="27"/>
      <c r="H22" s="27"/>
      <c r="I22" s="27"/>
      <c r="J22" s="28"/>
      <c r="K22" s="49"/>
      <c r="L22" s="50"/>
      <c r="M22" s="51"/>
      <c r="P22" s="30"/>
      <c r="Q22" s="21"/>
      <c r="R22" s="21"/>
      <c r="S22" s="21"/>
      <c r="T22" s="22"/>
      <c r="U22" s="27"/>
      <c r="V22" s="27"/>
      <c r="W22" s="27"/>
      <c r="X22" s="28"/>
      <c r="Y22" s="49"/>
      <c r="Z22" s="50"/>
      <c r="AA22" s="51"/>
    </row>
    <row r="23" spans="2:28" ht="15" customHeight="1" x14ac:dyDescent="0.2">
      <c r="B23" s="31"/>
      <c r="C23" s="21"/>
      <c r="D23" s="21"/>
      <c r="E23" s="21"/>
      <c r="F23" s="22"/>
      <c r="G23" s="27"/>
      <c r="H23" s="27"/>
      <c r="I23" s="27"/>
      <c r="J23" s="28"/>
      <c r="K23" s="52"/>
      <c r="L23" s="53"/>
      <c r="M23" s="54"/>
      <c r="P23" s="31"/>
      <c r="Q23" s="21"/>
      <c r="R23" s="21"/>
      <c r="S23" s="21"/>
      <c r="T23" s="22"/>
      <c r="U23" s="27"/>
      <c r="V23" s="27"/>
      <c r="W23" s="27"/>
      <c r="X23" s="28"/>
      <c r="Y23" s="52"/>
      <c r="Z23" s="53"/>
      <c r="AA23" s="54"/>
    </row>
    <row r="24" spans="2:28" ht="15" customHeight="1" x14ac:dyDescent="0.2">
      <c r="C24" s="5"/>
      <c r="D24" s="5"/>
      <c r="E24" s="5"/>
      <c r="Q24" s="5"/>
      <c r="R24" s="5"/>
      <c r="S24" s="5"/>
    </row>
    <row r="25" spans="2:28" ht="15" customHeight="1" x14ac:dyDescent="0.2">
      <c r="C25" s="5"/>
      <c r="D25" s="5"/>
      <c r="E25" s="5"/>
      <c r="Q25" s="5"/>
      <c r="R25" s="5"/>
      <c r="S25" s="5"/>
    </row>
    <row r="26" spans="2:28" ht="15" customHeight="1" x14ac:dyDescent="0.2"/>
    <row r="27" spans="2:28" ht="15" customHeight="1" x14ac:dyDescent="0.2">
      <c r="B27" s="77" t="s">
        <v>53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9"/>
      <c r="P27" s="77" t="s">
        <v>61</v>
      </c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9"/>
    </row>
    <row r="28" spans="2:28" ht="15" customHeight="1" x14ac:dyDescent="0.2">
      <c r="B28" s="80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2"/>
      <c r="P28" s="100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2"/>
    </row>
    <row r="29" spans="2:28" ht="15" customHeight="1" x14ac:dyDescent="0.2">
      <c r="B29" s="11" t="s">
        <v>1</v>
      </c>
      <c r="C29" s="36" t="s">
        <v>0</v>
      </c>
      <c r="D29" s="37"/>
      <c r="E29" s="37"/>
      <c r="F29" s="37"/>
      <c r="G29" s="37" t="s">
        <v>2</v>
      </c>
      <c r="H29" s="37"/>
      <c r="I29" s="37"/>
      <c r="J29" s="37"/>
      <c r="K29" s="64" t="s">
        <v>19</v>
      </c>
      <c r="L29" s="65"/>
      <c r="M29" s="66"/>
      <c r="P29" s="11" t="s">
        <v>1</v>
      </c>
      <c r="Q29" s="36" t="s">
        <v>0</v>
      </c>
      <c r="R29" s="37"/>
      <c r="S29" s="37"/>
      <c r="T29" s="37"/>
      <c r="U29" s="37" t="s">
        <v>2</v>
      </c>
      <c r="V29" s="37"/>
      <c r="W29" s="37"/>
      <c r="X29" s="37"/>
      <c r="Y29" s="64" t="s">
        <v>19</v>
      </c>
      <c r="Z29" s="65"/>
      <c r="AA29" s="66"/>
    </row>
    <row r="30" spans="2:28" ht="15" customHeight="1" x14ac:dyDescent="0.2">
      <c r="B30" s="29" t="s">
        <v>90</v>
      </c>
      <c r="C30" s="38" t="s">
        <v>4</v>
      </c>
      <c r="D30" s="39"/>
      <c r="E30" s="39"/>
      <c r="F30" s="3" t="s">
        <v>17</v>
      </c>
      <c r="G30" s="1" t="s">
        <v>5</v>
      </c>
      <c r="H30" s="1" t="s">
        <v>6</v>
      </c>
      <c r="I30" s="2" t="s">
        <v>7</v>
      </c>
      <c r="J30" s="2" t="s">
        <v>8</v>
      </c>
      <c r="K30" s="74"/>
      <c r="L30" s="75"/>
      <c r="M30" s="76"/>
      <c r="P30" s="29" t="s">
        <v>90</v>
      </c>
      <c r="Q30" s="38" t="s">
        <v>4</v>
      </c>
      <c r="R30" s="39"/>
      <c r="S30" s="39"/>
      <c r="T30" s="3" t="s">
        <v>17</v>
      </c>
      <c r="U30" s="1" t="s">
        <v>5</v>
      </c>
      <c r="V30" s="1" t="s">
        <v>6</v>
      </c>
      <c r="W30" s="2" t="s">
        <v>7</v>
      </c>
      <c r="X30" s="2" t="s">
        <v>8</v>
      </c>
      <c r="Y30" s="74"/>
      <c r="Z30" s="75"/>
      <c r="AA30" s="76"/>
    </row>
    <row r="31" spans="2:28" ht="15" customHeight="1" x14ac:dyDescent="0.2">
      <c r="B31" s="30"/>
      <c r="C31" s="20" t="s">
        <v>56</v>
      </c>
      <c r="D31" s="21"/>
      <c r="E31" s="21"/>
      <c r="F31" s="22">
        <v>1500</v>
      </c>
      <c r="G31" s="17">
        <v>0.8155</v>
      </c>
      <c r="H31" s="17">
        <v>0.81359999999999999</v>
      </c>
      <c r="I31" s="17">
        <v>0.9355</v>
      </c>
      <c r="J31" s="23">
        <v>0.9032</v>
      </c>
      <c r="K31" s="46" t="s">
        <v>20</v>
      </c>
      <c r="L31" s="47"/>
      <c r="M31" s="48"/>
      <c r="P31" s="30"/>
      <c r="Q31" s="20" t="s">
        <v>36</v>
      </c>
      <c r="R31" s="21"/>
      <c r="S31" s="21"/>
      <c r="T31" s="22">
        <v>1500</v>
      </c>
      <c r="U31" s="17">
        <v>0.77159999999999995</v>
      </c>
      <c r="V31" s="17">
        <v>0.76380000000000003</v>
      </c>
      <c r="W31" s="58">
        <v>0.83330000000000004</v>
      </c>
      <c r="X31" s="61">
        <v>0.91669999999999996</v>
      </c>
      <c r="Y31" s="46" t="s">
        <v>20</v>
      </c>
      <c r="Z31" s="47"/>
      <c r="AA31" s="48"/>
      <c r="AB31" t="s">
        <v>89</v>
      </c>
    </row>
    <row r="32" spans="2:28" ht="15" customHeight="1" x14ac:dyDescent="0.2">
      <c r="B32" s="30"/>
      <c r="C32" s="20"/>
      <c r="D32" s="21"/>
      <c r="E32" s="21"/>
      <c r="F32" s="22"/>
      <c r="G32" s="18"/>
      <c r="H32" s="18"/>
      <c r="I32" s="18"/>
      <c r="J32" s="24"/>
      <c r="K32" s="49"/>
      <c r="L32" s="50"/>
      <c r="M32" s="51"/>
      <c r="P32" s="30"/>
      <c r="Q32" s="20"/>
      <c r="R32" s="21"/>
      <c r="S32" s="21"/>
      <c r="T32" s="22"/>
      <c r="U32" s="18"/>
      <c r="V32" s="18"/>
      <c r="W32" s="59"/>
      <c r="X32" s="62"/>
      <c r="Y32" s="49"/>
      <c r="Z32" s="50"/>
      <c r="AA32" s="51"/>
    </row>
    <row r="33" spans="2:27" ht="15" customHeight="1" x14ac:dyDescent="0.2">
      <c r="B33" s="30"/>
      <c r="C33" s="20"/>
      <c r="D33" s="21"/>
      <c r="E33" s="21"/>
      <c r="F33" s="22"/>
      <c r="G33" s="19"/>
      <c r="H33" s="19"/>
      <c r="I33" s="19"/>
      <c r="J33" s="25"/>
      <c r="K33" s="49"/>
      <c r="L33" s="50"/>
      <c r="M33" s="51"/>
      <c r="P33" s="30"/>
      <c r="Q33" s="20"/>
      <c r="R33" s="21"/>
      <c r="S33" s="21"/>
      <c r="T33" s="22"/>
      <c r="U33" s="19"/>
      <c r="V33" s="19"/>
      <c r="W33" s="60"/>
      <c r="X33" s="63"/>
      <c r="Y33" s="49"/>
      <c r="Z33" s="50"/>
      <c r="AA33" s="51"/>
    </row>
    <row r="34" spans="2:27" ht="15.75" customHeight="1" x14ac:dyDescent="0.2">
      <c r="B34" s="30"/>
      <c r="C34" s="20" t="s">
        <v>116</v>
      </c>
      <c r="D34" s="21"/>
      <c r="E34" s="21"/>
      <c r="F34" s="22">
        <v>1500</v>
      </c>
      <c r="G34" s="22">
        <v>0.81669999999999998</v>
      </c>
      <c r="H34" s="22">
        <v>0.81269999999999998</v>
      </c>
      <c r="I34" s="17">
        <v>0.9355</v>
      </c>
      <c r="J34" s="55">
        <v>0.9194</v>
      </c>
      <c r="K34" s="49"/>
      <c r="L34" s="50"/>
      <c r="M34" s="51"/>
      <c r="P34" s="30"/>
      <c r="Q34" s="20" t="s">
        <v>111</v>
      </c>
      <c r="R34" s="21"/>
      <c r="S34" s="21"/>
      <c r="T34" s="22">
        <v>1500</v>
      </c>
      <c r="U34" s="22">
        <v>0.79410000000000003</v>
      </c>
      <c r="V34" s="22">
        <v>0.81579999999999997</v>
      </c>
      <c r="W34" s="17">
        <v>1</v>
      </c>
      <c r="X34" s="17">
        <v>1</v>
      </c>
      <c r="Y34" s="49"/>
      <c r="Z34" s="50"/>
      <c r="AA34" s="51"/>
    </row>
    <row r="35" spans="2:27" ht="15" customHeight="1" x14ac:dyDescent="0.2">
      <c r="B35" s="30"/>
      <c r="C35" s="20"/>
      <c r="D35" s="21"/>
      <c r="E35" s="21"/>
      <c r="F35" s="22"/>
      <c r="G35" s="22"/>
      <c r="H35" s="22"/>
      <c r="I35" s="18"/>
      <c r="J35" s="55"/>
      <c r="K35" s="49"/>
      <c r="L35" s="50"/>
      <c r="M35" s="51"/>
      <c r="N35" s="13" t="s">
        <v>92</v>
      </c>
      <c r="P35" s="30"/>
      <c r="Q35" s="20"/>
      <c r="R35" s="21"/>
      <c r="S35" s="21"/>
      <c r="T35" s="22"/>
      <c r="U35" s="22"/>
      <c r="V35" s="22"/>
      <c r="W35" s="18"/>
      <c r="X35" s="18"/>
      <c r="Y35" s="49"/>
      <c r="Z35" s="50"/>
      <c r="AA35" s="51"/>
    </row>
    <row r="36" spans="2:27" ht="15" customHeight="1" x14ac:dyDescent="0.2">
      <c r="B36" s="30"/>
      <c r="C36" s="20"/>
      <c r="D36" s="21"/>
      <c r="E36" s="21"/>
      <c r="F36" s="22"/>
      <c r="G36" s="22"/>
      <c r="H36" s="22"/>
      <c r="I36" s="19"/>
      <c r="J36" s="55"/>
      <c r="K36" s="49"/>
      <c r="L36" s="50"/>
      <c r="M36" s="51"/>
      <c r="P36" s="30"/>
      <c r="Q36" s="20"/>
      <c r="R36" s="21"/>
      <c r="S36" s="21"/>
      <c r="T36" s="22"/>
      <c r="U36" s="22"/>
      <c r="V36" s="22"/>
      <c r="W36" s="19"/>
      <c r="X36" s="19"/>
      <c r="Y36" s="49"/>
      <c r="Z36" s="50"/>
      <c r="AA36" s="51"/>
    </row>
    <row r="37" spans="2:27" ht="15" customHeight="1" x14ac:dyDescent="0.2">
      <c r="B37" s="30"/>
      <c r="C37" s="20" t="s">
        <v>43</v>
      </c>
      <c r="D37" s="21"/>
      <c r="E37" s="21"/>
      <c r="F37" s="22">
        <v>1500</v>
      </c>
      <c r="G37" s="26">
        <v>0.82569999999999999</v>
      </c>
      <c r="H37" s="26">
        <v>0.82410000000000005</v>
      </c>
      <c r="I37" s="27">
        <v>0.9677</v>
      </c>
      <c r="J37" s="55">
        <v>0.9355</v>
      </c>
      <c r="K37" s="49"/>
      <c r="L37" s="50"/>
      <c r="M37" s="51"/>
      <c r="P37" s="30"/>
      <c r="Q37" s="20" t="s">
        <v>37</v>
      </c>
      <c r="R37" s="21"/>
      <c r="S37" s="21"/>
      <c r="T37" s="22">
        <v>1500</v>
      </c>
      <c r="U37" s="27">
        <v>0.81510000000000005</v>
      </c>
      <c r="V37" s="27">
        <v>0.8196</v>
      </c>
      <c r="W37" s="17">
        <v>1</v>
      </c>
      <c r="X37" s="23">
        <v>1</v>
      </c>
      <c r="Y37" s="49"/>
      <c r="Z37" s="50"/>
      <c r="AA37" s="51"/>
    </row>
    <row r="38" spans="2:27" ht="15" customHeight="1" x14ac:dyDescent="0.2">
      <c r="B38" s="30"/>
      <c r="C38" s="20"/>
      <c r="D38" s="21"/>
      <c r="E38" s="21"/>
      <c r="F38" s="22"/>
      <c r="G38" s="26"/>
      <c r="H38" s="26"/>
      <c r="I38" s="27"/>
      <c r="J38" s="55"/>
      <c r="K38" s="49"/>
      <c r="L38" s="50"/>
      <c r="M38" s="51"/>
      <c r="N38" t="s">
        <v>89</v>
      </c>
      <c r="P38" s="30"/>
      <c r="Q38" s="20"/>
      <c r="R38" s="21"/>
      <c r="S38" s="21"/>
      <c r="T38" s="22"/>
      <c r="U38" s="27"/>
      <c r="V38" s="27"/>
      <c r="W38" s="18"/>
      <c r="X38" s="24"/>
      <c r="Y38" s="49"/>
      <c r="Z38" s="50"/>
      <c r="AA38" s="51"/>
    </row>
    <row r="39" spans="2:27" ht="15" customHeight="1" x14ac:dyDescent="0.2">
      <c r="B39" s="30"/>
      <c r="C39" s="20"/>
      <c r="D39" s="21"/>
      <c r="E39" s="73"/>
      <c r="F39" s="22"/>
      <c r="G39" s="26"/>
      <c r="H39" s="26"/>
      <c r="I39" s="27"/>
      <c r="J39" s="55"/>
      <c r="K39" s="49"/>
      <c r="L39" s="50"/>
      <c r="M39" s="51"/>
      <c r="P39" s="30"/>
      <c r="Q39" s="20"/>
      <c r="R39" s="21"/>
      <c r="S39" s="73"/>
      <c r="T39" s="22"/>
      <c r="U39" s="27"/>
      <c r="V39" s="27"/>
      <c r="W39" s="19"/>
      <c r="X39" s="25"/>
      <c r="Y39" s="49"/>
      <c r="Z39" s="50"/>
      <c r="AA39" s="51"/>
    </row>
    <row r="40" spans="2:27" ht="15" customHeight="1" x14ac:dyDescent="0.2">
      <c r="B40" s="30"/>
      <c r="C40" s="20" t="s">
        <v>54</v>
      </c>
      <c r="D40" s="21"/>
      <c r="E40" s="21"/>
      <c r="F40" s="22">
        <v>1500</v>
      </c>
      <c r="G40" s="27">
        <v>0.82320000000000004</v>
      </c>
      <c r="H40" s="27">
        <v>0.81230000000000002</v>
      </c>
      <c r="I40" s="27">
        <v>0.9355</v>
      </c>
      <c r="J40" s="28">
        <v>0.9194</v>
      </c>
      <c r="K40" s="49"/>
      <c r="L40" s="50"/>
      <c r="M40" s="51"/>
      <c r="P40" s="30"/>
      <c r="Q40" s="20" t="s">
        <v>66</v>
      </c>
      <c r="R40" s="21"/>
      <c r="S40" s="21"/>
      <c r="T40" s="22">
        <v>1500</v>
      </c>
      <c r="U40" s="26">
        <v>0.83309999999999995</v>
      </c>
      <c r="V40" s="26">
        <v>0.84709999999999996</v>
      </c>
      <c r="W40" s="17">
        <v>1</v>
      </c>
      <c r="X40" s="23">
        <v>1</v>
      </c>
      <c r="Y40" s="49"/>
      <c r="Z40" s="50"/>
      <c r="AA40" s="51"/>
    </row>
    <row r="41" spans="2:27" ht="15" customHeight="1" x14ac:dyDescent="0.2">
      <c r="B41" s="30"/>
      <c r="C41" s="20"/>
      <c r="D41" s="21"/>
      <c r="E41" s="21"/>
      <c r="F41" s="22"/>
      <c r="G41" s="27"/>
      <c r="H41" s="27"/>
      <c r="I41" s="27"/>
      <c r="J41" s="28"/>
      <c r="K41" s="49"/>
      <c r="L41" s="50"/>
      <c r="M41" s="51"/>
      <c r="P41" s="30"/>
      <c r="Q41" s="20"/>
      <c r="R41" s="21"/>
      <c r="S41" s="21"/>
      <c r="T41" s="22"/>
      <c r="U41" s="26"/>
      <c r="V41" s="26"/>
      <c r="W41" s="18"/>
      <c r="X41" s="24"/>
      <c r="Y41" s="49"/>
      <c r="Z41" s="50"/>
      <c r="AA41" s="51"/>
    </row>
    <row r="42" spans="2:27" ht="15" customHeight="1" x14ac:dyDescent="0.2">
      <c r="B42" s="30"/>
      <c r="C42" s="20"/>
      <c r="D42" s="21"/>
      <c r="E42" s="73"/>
      <c r="F42" s="22"/>
      <c r="G42" s="27"/>
      <c r="H42" s="27"/>
      <c r="I42" s="27"/>
      <c r="J42" s="28"/>
      <c r="K42" s="49"/>
      <c r="L42" s="50"/>
      <c r="M42" s="51"/>
      <c r="P42" s="30"/>
      <c r="Q42" s="20"/>
      <c r="R42" s="21"/>
      <c r="S42" s="73"/>
      <c r="T42" s="22"/>
      <c r="U42" s="26"/>
      <c r="V42" s="26"/>
      <c r="W42" s="19"/>
      <c r="X42" s="25"/>
      <c r="Y42" s="49"/>
      <c r="Z42" s="50"/>
      <c r="AA42" s="51"/>
    </row>
    <row r="43" spans="2:27" ht="15" customHeight="1" x14ac:dyDescent="0.2">
      <c r="B43" s="30"/>
      <c r="C43" s="21" t="s">
        <v>55</v>
      </c>
      <c r="D43" s="21"/>
      <c r="E43" s="21"/>
      <c r="F43" s="22">
        <v>1500</v>
      </c>
      <c r="G43" s="27">
        <v>0.78249999999999997</v>
      </c>
      <c r="H43" s="27">
        <v>0.77700000000000002</v>
      </c>
      <c r="I43" s="27">
        <v>0.9032</v>
      </c>
      <c r="J43" s="28">
        <v>0.9194</v>
      </c>
      <c r="K43" s="49"/>
      <c r="L43" s="50"/>
      <c r="M43" s="51"/>
      <c r="P43" s="30"/>
      <c r="Q43" s="21" t="s">
        <v>67</v>
      </c>
      <c r="R43" s="21"/>
      <c r="S43" s="21"/>
      <c r="T43" s="22">
        <v>1500</v>
      </c>
      <c r="U43" s="27">
        <v>0.75439999999999996</v>
      </c>
      <c r="V43" s="27">
        <v>0.75680000000000003</v>
      </c>
      <c r="W43" s="27">
        <v>0.83330000000000004</v>
      </c>
      <c r="X43" s="28">
        <v>0.91669999999999996</v>
      </c>
      <c r="Y43" s="49"/>
      <c r="Z43" s="50"/>
      <c r="AA43" s="51"/>
    </row>
    <row r="44" spans="2:27" ht="15" customHeight="1" x14ac:dyDescent="0.2">
      <c r="B44" s="30"/>
      <c r="C44" s="21"/>
      <c r="D44" s="21"/>
      <c r="E44" s="21"/>
      <c r="F44" s="22"/>
      <c r="G44" s="27"/>
      <c r="H44" s="27"/>
      <c r="I44" s="27"/>
      <c r="J44" s="28"/>
      <c r="K44" s="49"/>
      <c r="L44" s="50"/>
      <c r="M44" s="51"/>
      <c r="P44" s="30"/>
      <c r="Q44" s="21"/>
      <c r="R44" s="21"/>
      <c r="S44" s="21"/>
      <c r="T44" s="22"/>
      <c r="U44" s="27"/>
      <c r="V44" s="27"/>
      <c r="W44" s="27"/>
      <c r="X44" s="28"/>
      <c r="Y44" s="49"/>
      <c r="Z44" s="50"/>
      <c r="AA44" s="51"/>
    </row>
    <row r="45" spans="2:27" ht="15" customHeight="1" x14ac:dyDescent="0.2">
      <c r="B45" s="31"/>
      <c r="C45" s="21"/>
      <c r="D45" s="21"/>
      <c r="E45" s="21"/>
      <c r="F45" s="22"/>
      <c r="G45" s="27"/>
      <c r="H45" s="27"/>
      <c r="I45" s="27"/>
      <c r="J45" s="28"/>
      <c r="K45" s="52"/>
      <c r="L45" s="53"/>
      <c r="M45" s="54"/>
      <c r="P45" s="31"/>
      <c r="Q45" s="21"/>
      <c r="R45" s="21"/>
      <c r="S45" s="21"/>
      <c r="T45" s="22"/>
      <c r="U45" s="27"/>
      <c r="V45" s="27"/>
      <c r="W45" s="27"/>
      <c r="X45" s="28"/>
      <c r="Y45" s="52"/>
      <c r="Z45" s="53"/>
      <c r="AA45" s="54"/>
    </row>
    <row r="46" spans="2:27" ht="15" customHeight="1" x14ac:dyDescent="0.2">
      <c r="C46" s="5"/>
      <c r="D46" s="5"/>
      <c r="E46" s="5"/>
      <c r="Q46" s="5"/>
      <c r="R46" s="5"/>
      <c r="S46" s="5"/>
    </row>
    <row r="47" spans="2:27" ht="15.75" customHeight="1" x14ac:dyDescent="0.2"/>
    <row r="48" spans="2:27" ht="15" customHeight="1" x14ac:dyDescent="0.2">
      <c r="B48" s="77" t="s">
        <v>58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9"/>
      <c r="P48" s="77" t="s">
        <v>62</v>
      </c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9"/>
    </row>
    <row r="49" spans="2:27" ht="15" customHeight="1" x14ac:dyDescent="0.2"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2"/>
      <c r="P49" s="100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2"/>
    </row>
    <row r="50" spans="2:27" ht="15" customHeight="1" x14ac:dyDescent="0.2">
      <c r="B50" s="11" t="s">
        <v>1</v>
      </c>
      <c r="C50" s="36" t="s">
        <v>0</v>
      </c>
      <c r="D50" s="37"/>
      <c r="E50" s="37"/>
      <c r="F50" s="37"/>
      <c r="G50" s="37" t="s">
        <v>2</v>
      </c>
      <c r="H50" s="37"/>
      <c r="I50" s="37"/>
      <c r="J50" s="37"/>
      <c r="K50" s="64" t="s">
        <v>19</v>
      </c>
      <c r="L50" s="65"/>
      <c r="M50" s="66"/>
      <c r="P50" s="11" t="s">
        <v>1</v>
      </c>
      <c r="Q50" s="36" t="s">
        <v>0</v>
      </c>
      <c r="R50" s="37"/>
      <c r="S50" s="37"/>
      <c r="T50" s="37"/>
      <c r="U50" s="37" t="s">
        <v>2</v>
      </c>
      <c r="V50" s="37"/>
      <c r="W50" s="37"/>
      <c r="X50" s="37"/>
      <c r="Y50" s="64" t="s">
        <v>19</v>
      </c>
      <c r="Z50" s="65"/>
      <c r="AA50" s="66"/>
    </row>
    <row r="51" spans="2:27" ht="15" customHeight="1" x14ac:dyDescent="0.2">
      <c r="B51" s="29" t="s">
        <v>90</v>
      </c>
      <c r="C51" s="38" t="s">
        <v>4</v>
      </c>
      <c r="D51" s="39"/>
      <c r="E51" s="39"/>
      <c r="F51" s="3" t="s">
        <v>17</v>
      </c>
      <c r="G51" s="1" t="s">
        <v>5</v>
      </c>
      <c r="H51" s="1" t="s">
        <v>6</v>
      </c>
      <c r="I51" s="2" t="s">
        <v>7</v>
      </c>
      <c r="J51" s="2" t="s">
        <v>8</v>
      </c>
      <c r="K51" s="74"/>
      <c r="L51" s="75"/>
      <c r="M51" s="76"/>
      <c r="P51" s="29" t="s">
        <v>90</v>
      </c>
      <c r="Q51" s="38" t="s">
        <v>4</v>
      </c>
      <c r="R51" s="39"/>
      <c r="S51" s="39"/>
      <c r="T51" s="3" t="s">
        <v>17</v>
      </c>
      <c r="U51" s="1" t="s">
        <v>5</v>
      </c>
      <c r="V51" s="1" t="s">
        <v>6</v>
      </c>
      <c r="W51" s="2" t="s">
        <v>7</v>
      </c>
      <c r="X51" s="2" t="s">
        <v>8</v>
      </c>
      <c r="Y51" s="74"/>
      <c r="Z51" s="75"/>
      <c r="AA51" s="76"/>
    </row>
    <row r="52" spans="2:27" ht="15" customHeight="1" x14ac:dyDescent="0.2">
      <c r="B52" s="30"/>
      <c r="C52" s="20" t="s">
        <v>76</v>
      </c>
      <c r="D52" s="21"/>
      <c r="E52" s="21"/>
      <c r="F52" s="22">
        <v>1500</v>
      </c>
      <c r="G52" s="17">
        <v>0.81479999999999997</v>
      </c>
      <c r="H52" s="17">
        <v>0.80900000000000005</v>
      </c>
      <c r="I52" s="17">
        <v>0.9032</v>
      </c>
      <c r="J52" s="23">
        <v>0.8871</v>
      </c>
      <c r="K52" s="46" t="s">
        <v>20</v>
      </c>
      <c r="L52" s="47"/>
      <c r="M52" s="48"/>
      <c r="P52" s="30"/>
      <c r="Q52" s="20" t="s">
        <v>70</v>
      </c>
      <c r="R52" s="21"/>
      <c r="S52" s="21"/>
      <c r="T52" s="22">
        <v>1500</v>
      </c>
      <c r="U52" s="17">
        <v>0.74309999999999998</v>
      </c>
      <c r="V52" s="17">
        <v>0.73529999999999995</v>
      </c>
      <c r="W52" s="58">
        <v>0.83330000000000004</v>
      </c>
      <c r="X52" s="61">
        <v>0.75</v>
      </c>
      <c r="Y52" s="46" t="s">
        <v>20</v>
      </c>
      <c r="Z52" s="47"/>
      <c r="AA52" s="48"/>
    </row>
    <row r="53" spans="2:27" ht="15" customHeight="1" x14ac:dyDescent="0.2">
      <c r="B53" s="30"/>
      <c r="C53" s="20"/>
      <c r="D53" s="21"/>
      <c r="E53" s="21"/>
      <c r="F53" s="22"/>
      <c r="G53" s="18"/>
      <c r="H53" s="18"/>
      <c r="I53" s="18"/>
      <c r="J53" s="24"/>
      <c r="K53" s="49"/>
      <c r="L53" s="50"/>
      <c r="M53" s="51"/>
      <c r="P53" s="30"/>
      <c r="Q53" s="20"/>
      <c r="R53" s="21"/>
      <c r="S53" s="21"/>
      <c r="T53" s="22"/>
      <c r="U53" s="18"/>
      <c r="V53" s="18"/>
      <c r="W53" s="59"/>
      <c r="X53" s="62"/>
      <c r="Y53" s="49"/>
      <c r="Z53" s="50"/>
      <c r="AA53" s="51"/>
    </row>
    <row r="54" spans="2:27" ht="15" customHeight="1" x14ac:dyDescent="0.2">
      <c r="B54" s="30"/>
      <c r="C54" s="20"/>
      <c r="D54" s="21"/>
      <c r="E54" s="21"/>
      <c r="F54" s="22"/>
      <c r="G54" s="19"/>
      <c r="H54" s="19"/>
      <c r="I54" s="19"/>
      <c r="J54" s="25"/>
      <c r="K54" s="49"/>
      <c r="L54" s="50"/>
      <c r="M54" s="51"/>
      <c r="N54" t="s">
        <v>91</v>
      </c>
      <c r="P54" s="30"/>
      <c r="Q54" s="20"/>
      <c r="R54" s="21"/>
      <c r="S54" s="21"/>
      <c r="T54" s="22"/>
      <c r="U54" s="19"/>
      <c r="V54" s="19"/>
      <c r="W54" s="60"/>
      <c r="X54" s="63"/>
      <c r="Y54" s="49"/>
      <c r="Z54" s="50"/>
      <c r="AA54" s="51"/>
    </row>
    <row r="55" spans="2:27" ht="15" customHeight="1" x14ac:dyDescent="0.2">
      <c r="B55" s="30"/>
      <c r="C55" s="20" t="s">
        <v>117</v>
      </c>
      <c r="D55" s="21"/>
      <c r="E55" s="21"/>
      <c r="F55" s="22">
        <v>1500</v>
      </c>
      <c r="G55" s="27">
        <v>0.82399999999999995</v>
      </c>
      <c r="H55" s="22">
        <v>0.82079999999999997</v>
      </c>
      <c r="I55" s="22">
        <v>0.9032</v>
      </c>
      <c r="J55" s="22">
        <v>0.9032</v>
      </c>
      <c r="K55" s="49"/>
      <c r="L55" s="50"/>
      <c r="M55" s="51"/>
      <c r="P55" s="30"/>
      <c r="Q55" s="20" t="s">
        <v>110</v>
      </c>
      <c r="R55" s="21"/>
      <c r="S55" s="21"/>
      <c r="T55" s="22">
        <v>1500</v>
      </c>
      <c r="U55" s="22">
        <v>0.79039999999999999</v>
      </c>
      <c r="V55" s="22">
        <v>0.80069999999999997</v>
      </c>
      <c r="W55" s="27">
        <v>1</v>
      </c>
      <c r="X55" s="55">
        <v>0.83330000000000004</v>
      </c>
      <c r="Y55" s="49"/>
      <c r="Z55" s="50"/>
      <c r="AA55" s="51"/>
    </row>
    <row r="56" spans="2:27" ht="15" customHeight="1" x14ac:dyDescent="0.2">
      <c r="B56" s="30"/>
      <c r="C56" s="20"/>
      <c r="D56" s="21"/>
      <c r="E56" s="21"/>
      <c r="F56" s="22"/>
      <c r="G56" s="27"/>
      <c r="H56" s="22"/>
      <c r="I56" s="22"/>
      <c r="J56" s="22"/>
      <c r="K56" s="49"/>
      <c r="L56" s="50"/>
      <c r="M56" s="51"/>
      <c r="P56" s="30"/>
      <c r="Q56" s="20"/>
      <c r="R56" s="21"/>
      <c r="S56" s="21"/>
      <c r="T56" s="22"/>
      <c r="U56" s="22"/>
      <c r="V56" s="22"/>
      <c r="W56" s="27"/>
      <c r="X56" s="55"/>
      <c r="Y56" s="49"/>
      <c r="Z56" s="50"/>
      <c r="AA56" s="51"/>
    </row>
    <row r="57" spans="2:27" ht="15" customHeight="1" x14ac:dyDescent="0.2">
      <c r="B57" s="30"/>
      <c r="C57" s="20"/>
      <c r="D57" s="21"/>
      <c r="E57" s="21"/>
      <c r="F57" s="22"/>
      <c r="G57" s="27"/>
      <c r="H57" s="22"/>
      <c r="I57" s="22"/>
      <c r="J57" s="22"/>
      <c r="K57" s="49"/>
      <c r="L57" s="50"/>
      <c r="M57" s="51"/>
      <c r="P57" s="30"/>
      <c r="Q57" s="20"/>
      <c r="R57" s="21"/>
      <c r="S57" s="21"/>
      <c r="T57" s="22"/>
      <c r="U57" s="22"/>
      <c r="V57" s="22"/>
      <c r="W57" s="27"/>
      <c r="X57" s="55"/>
      <c r="Y57" s="49"/>
      <c r="Z57" s="50"/>
      <c r="AA57" s="51"/>
    </row>
    <row r="58" spans="2:27" ht="15" customHeight="1" x14ac:dyDescent="0.2">
      <c r="B58" s="30"/>
      <c r="C58" s="20" t="s">
        <v>44</v>
      </c>
      <c r="D58" s="21"/>
      <c r="E58" s="21"/>
      <c r="F58" s="22">
        <v>1500</v>
      </c>
      <c r="G58" s="27">
        <v>0.83279999999999998</v>
      </c>
      <c r="H58" s="27">
        <v>0.82569999999999999</v>
      </c>
      <c r="I58" s="27">
        <v>0.9355</v>
      </c>
      <c r="J58" s="28">
        <v>0.9194</v>
      </c>
      <c r="K58" s="49"/>
      <c r="L58" s="50"/>
      <c r="M58" s="51"/>
      <c r="P58" s="30"/>
      <c r="Q58" s="20" t="s">
        <v>41</v>
      </c>
      <c r="R58" s="21"/>
      <c r="S58" s="21"/>
      <c r="T58" s="22">
        <v>1500</v>
      </c>
      <c r="U58" s="26">
        <v>0.80189999999999995</v>
      </c>
      <c r="V58" s="26">
        <v>0.82479999999999998</v>
      </c>
      <c r="W58" s="17">
        <v>1</v>
      </c>
      <c r="X58" s="23">
        <v>1</v>
      </c>
      <c r="Y58" s="49"/>
      <c r="Z58" s="50"/>
      <c r="AA58" s="51"/>
    </row>
    <row r="59" spans="2:27" ht="15.75" customHeight="1" x14ac:dyDescent="0.2">
      <c r="B59" s="30"/>
      <c r="C59" s="20"/>
      <c r="D59" s="21"/>
      <c r="E59" s="21"/>
      <c r="F59" s="22"/>
      <c r="G59" s="27"/>
      <c r="H59" s="27"/>
      <c r="I59" s="27"/>
      <c r="J59" s="28"/>
      <c r="K59" s="49"/>
      <c r="L59" s="50"/>
      <c r="M59" s="51"/>
      <c r="P59" s="30"/>
      <c r="Q59" s="20"/>
      <c r="R59" s="21"/>
      <c r="S59" s="21"/>
      <c r="T59" s="22"/>
      <c r="U59" s="26"/>
      <c r="V59" s="26"/>
      <c r="W59" s="18"/>
      <c r="X59" s="24"/>
      <c r="Y59" s="49"/>
      <c r="Z59" s="50"/>
      <c r="AA59" s="51"/>
    </row>
    <row r="60" spans="2:27" ht="15.75" customHeight="1" x14ac:dyDescent="0.2">
      <c r="B60" s="30"/>
      <c r="C60" s="20"/>
      <c r="D60" s="21"/>
      <c r="E60" s="73"/>
      <c r="F60" s="22"/>
      <c r="G60" s="27"/>
      <c r="H60" s="27"/>
      <c r="I60" s="27"/>
      <c r="J60" s="28"/>
      <c r="K60" s="49"/>
      <c r="L60" s="50"/>
      <c r="M60" s="51"/>
      <c r="P60" s="30"/>
      <c r="Q60" s="20"/>
      <c r="R60" s="21"/>
      <c r="S60" s="73"/>
      <c r="T60" s="22"/>
      <c r="U60" s="26"/>
      <c r="V60" s="26"/>
      <c r="W60" s="19"/>
      <c r="X60" s="25"/>
      <c r="Y60" s="49"/>
      <c r="Z60" s="50"/>
      <c r="AA60" s="51"/>
    </row>
    <row r="61" spans="2:27" ht="15" customHeight="1" x14ac:dyDescent="0.2">
      <c r="B61" s="30"/>
      <c r="C61" s="20" t="s">
        <v>77</v>
      </c>
      <c r="D61" s="21"/>
      <c r="E61" s="21"/>
      <c r="F61" s="22">
        <v>1500</v>
      </c>
      <c r="G61" s="26">
        <v>0.83320000000000005</v>
      </c>
      <c r="H61" s="26">
        <v>0.82450000000000001</v>
      </c>
      <c r="I61" s="27">
        <v>0.9355</v>
      </c>
      <c r="J61" s="28">
        <v>0.9032</v>
      </c>
      <c r="K61" s="49"/>
      <c r="L61" s="50"/>
      <c r="M61" s="51"/>
      <c r="P61" s="30"/>
      <c r="Q61" s="20" t="s">
        <v>71</v>
      </c>
      <c r="R61" s="21"/>
      <c r="S61" s="21"/>
      <c r="T61" s="22">
        <v>1500</v>
      </c>
      <c r="U61" s="17">
        <v>0.79710000000000003</v>
      </c>
      <c r="V61" s="17">
        <v>0.82350000000000001</v>
      </c>
      <c r="W61" s="17">
        <v>1</v>
      </c>
      <c r="X61" s="23">
        <v>1</v>
      </c>
      <c r="Y61" s="49"/>
      <c r="Z61" s="50"/>
      <c r="AA61" s="51"/>
    </row>
    <row r="62" spans="2:27" ht="15" customHeight="1" x14ac:dyDescent="0.2">
      <c r="B62" s="30"/>
      <c r="C62" s="20"/>
      <c r="D62" s="21"/>
      <c r="E62" s="21"/>
      <c r="F62" s="22"/>
      <c r="G62" s="26"/>
      <c r="H62" s="26"/>
      <c r="I62" s="27"/>
      <c r="J62" s="28"/>
      <c r="K62" s="49"/>
      <c r="L62" s="50"/>
      <c r="M62" s="51"/>
      <c r="P62" s="30"/>
      <c r="Q62" s="20"/>
      <c r="R62" s="21"/>
      <c r="S62" s="21"/>
      <c r="T62" s="22"/>
      <c r="U62" s="18"/>
      <c r="V62" s="18"/>
      <c r="W62" s="18"/>
      <c r="X62" s="24"/>
      <c r="Y62" s="49"/>
      <c r="Z62" s="50"/>
      <c r="AA62" s="51"/>
    </row>
    <row r="63" spans="2:27" ht="15" customHeight="1" x14ac:dyDescent="0.2">
      <c r="B63" s="30"/>
      <c r="C63" s="20"/>
      <c r="D63" s="21"/>
      <c r="E63" s="73"/>
      <c r="F63" s="22"/>
      <c r="G63" s="26"/>
      <c r="H63" s="26"/>
      <c r="I63" s="27"/>
      <c r="J63" s="28"/>
      <c r="K63" s="49"/>
      <c r="L63" s="50"/>
      <c r="M63" s="51"/>
      <c r="P63" s="30"/>
      <c r="Q63" s="20"/>
      <c r="R63" s="21"/>
      <c r="S63" s="73"/>
      <c r="T63" s="22"/>
      <c r="U63" s="19"/>
      <c r="V63" s="19"/>
      <c r="W63" s="19"/>
      <c r="X63" s="25"/>
      <c r="Y63" s="49"/>
      <c r="Z63" s="50"/>
      <c r="AA63" s="51"/>
    </row>
    <row r="64" spans="2:27" ht="15" customHeight="1" x14ac:dyDescent="0.2">
      <c r="B64" s="30"/>
      <c r="C64" s="21" t="s">
        <v>78</v>
      </c>
      <c r="D64" s="21"/>
      <c r="E64" s="21"/>
      <c r="F64" s="22">
        <v>1500</v>
      </c>
      <c r="G64" s="27">
        <v>0.79579999999999995</v>
      </c>
      <c r="H64" s="27">
        <v>0.79420000000000002</v>
      </c>
      <c r="I64" s="27">
        <v>0.8871</v>
      </c>
      <c r="J64" s="28">
        <v>0.9032</v>
      </c>
      <c r="K64" s="49"/>
      <c r="L64" s="50"/>
      <c r="M64" s="51"/>
      <c r="P64" s="30"/>
      <c r="Q64" s="21" t="s">
        <v>72</v>
      </c>
      <c r="R64" s="21"/>
      <c r="S64" s="21"/>
      <c r="T64" s="22">
        <v>1500</v>
      </c>
      <c r="U64" s="27">
        <v>0.74009999999999998</v>
      </c>
      <c r="V64" s="27">
        <v>0.75380000000000003</v>
      </c>
      <c r="W64" s="27">
        <v>0.83330000000000004</v>
      </c>
      <c r="X64" s="28">
        <v>0.91669999999999996</v>
      </c>
      <c r="Y64" s="49"/>
      <c r="Z64" s="50"/>
      <c r="AA64" s="51"/>
    </row>
    <row r="65" spans="2:27" ht="15" customHeight="1" x14ac:dyDescent="0.2">
      <c r="B65" s="30"/>
      <c r="C65" s="21"/>
      <c r="D65" s="21"/>
      <c r="E65" s="21"/>
      <c r="F65" s="22"/>
      <c r="G65" s="27"/>
      <c r="H65" s="27"/>
      <c r="I65" s="27"/>
      <c r="J65" s="28"/>
      <c r="K65" s="49"/>
      <c r="L65" s="50"/>
      <c r="M65" s="51"/>
      <c r="P65" s="30"/>
      <c r="Q65" s="21"/>
      <c r="R65" s="21"/>
      <c r="S65" s="21"/>
      <c r="T65" s="22"/>
      <c r="U65" s="27"/>
      <c r="V65" s="27"/>
      <c r="W65" s="27"/>
      <c r="X65" s="28"/>
      <c r="Y65" s="49"/>
      <c r="Z65" s="50"/>
      <c r="AA65" s="51"/>
    </row>
    <row r="66" spans="2:27" ht="15" customHeight="1" x14ac:dyDescent="0.2">
      <c r="B66" s="31"/>
      <c r="C66" s="21"/>
      <c r="D66" s="21"/>
      <c r="E66" s="21"/>
      <c r="F66" s="22"/>
      <c r="G66" s="27"/>
      <c r="H66" s="27"/>
      <c r="I66" s="27"/>
      <c r="J66" s="28"/>
      <c r="K66" s="52"/>
      <c r="L66" s="53"/>
      <c r="M66" s="54"/>
      <c r="P66" s="31"/>
      <c r="Q66" s="21"/>
      <c r="R66" s="21"/>
      <c r="S66" s="21"/>
      <c r="T66" s="22"/>
      <c r="U66" s="27"/>
      <c r="V66" s="27"/>
      <c r="W66" s="27"/>
      <c r="X66" s="28"/>
      <c r="Y66" s="52"/>
      <c r="Z66" s="53"/>
      <c r="AA66" s="54"/>
    </row>
    <row r="67" spans="2:27" ht="15" customHeight="1" x14ac:dyDescent="0.2">
      <c r="C67" s="5"/>
      <c r="D67" s="5"/>
      <c r="E67" s="5"/>
      <c r="Q67" s="5"/>
      <c r="R67" s="5"/>
      <c r="S67" s="5"/>
    </row>
    <row r="68" spans="2:27" ht="15" customHeight="1" x14ac:dyDescent="0.2"/>
    <row r="69" spans="2:27" ht="15" customHeight="1" x14ac:dyDescent="0.2">
      <c r="B69" s="77" t="s">
        <v>59</v>
      </c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9"/>
      <c r="P69" s="77" t="s">
        <v>63</v>
      </c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9"/>
    </row>
    <row r="70" spans="2:27" ht="15" customHeight="1" x14ac:dyDescent="0.2">
      <c r="B70" s="80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2"/>
      <c r="P70" s="100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2"/>
    </row>
    <row r="71" spans="2:27" ht="15" customHeight="1" x14ac:dyDescent="0.2">
      <c r="B71" s="11" t="s">
        <v>1</v>
      </c>
      <c r="C71" s="36" t="s">
        <v>0</v>
      </c>
      <c r="D71" s="37"/>
      <c r="E71" s="37"/>
      <c r="F71" s="37"/>
      <c r="G71" s="37" t="s">
        <v>2</v>
      </c>
      <c r="H71" s="37"/>
      <c r="I71" s="37"/>
      <c r="J71" s="37"/>
      <c r="K71" s="64" t="s">
        <v>19</v>
      </c>
      <c r="L71" s="65"/>
      <c r="M71" s="66"/>
      <c r="P71" s="11" t="s">
        <v>1</v>
      </c>
      <c r="Q71" s="36" t="s">
        <v>0</v>
      </c>
      <c r="R71" s="37"/>
      <c r="S71" s="37"/>
      <c r="T71" s="37"/>
      <c r="U71" s="37" t="s">
        <v>2</v>
      </c>
      <c r="V71" s="37"/>
      <c r="W71" s="37"/>
      <c r="X71" s="37"/>
      <c r="Y71" s="64" t="s">
        <v>19</v>
      </c>
      <c r="Z71" s="65"/>
      <c r="AA71" s="66"/>
    </row>
    <row r="72" spans="2:27" ht="14.75" customHeight="1" x14ac:dyDescent="0.2">
      <c r="B72" s="29" t="s">
        <v>90</v>
      </c>
      <c r="C72" s="38" t="s">
        <v>4</v>
      </c>
      <c r="D72" s="39"/>
      <c r="E72" s="39"/>
      <c r="F72" s="3" t="s">
        <v>17</v>
      </c>
      <c r="G72" s="1" t="s">
        <v>5</v>
      </c>
      <c r="H72" s="1" t="s">
        <v>6</v>
      </c>
      <c r="I72" s="2" t="s">
        <v>7</v>
      </c>
      <c r="J72" s="2" t="s">
        <v>8</v>
      </c>
      <c r="K72" s="74"/>
      <c r="L72" s="75"/>
      <c r="M72" s="76"/>
      <c r="P72" s="29" t="s">
        <v>90</v>
      </c>
      <c r="Q72" s="38" t="s">
        <v>4</v>
      </c>
      <c r="R72" s="39"/>
      <c r="S72" s="39"/>
      <c r="T72" s="3" t="s">
        <v>17</v>
      </c>
      <c r="U72" s="1" t="s">
        <v>5</v>
      </c>
      <c r="V72" s="1" t="s">
        <v>6</v>
      </c>
      <c r="W72" s="2" t="s">
        <v>7</v>
      </c>
      <c r="X72" s="2" t="s">
        <v>8</v>
      </c>
      <c r="Y72" s="74"/>
      <c r="Z72" s="75"/>
      <c r="AA72" s="76"/>
    </row>
    <row r="73" spans="2:27" ht="15" customHeight="1" x14ac:dyDescent="0.2">
      <c r="B73" s="30"/>
      <c r="C73" s="20" t="s">
        <v>73</v>
      </c>
      <c r="D73" s="21"/>
      <c r="E73" s="21"/>
      <c r="F73" s="22">
        <v>1500</v>
      </c>
      <c r="G73" s="27">
        <v>0.80459999999999998</v>
      </c>
      <c r="H73" s="27">
        <v>0.80510000000000004</v>
      </c>
      <c r="I73" s="27">
        <v>0.9355</v>
      </c>
      <c r="J73" s="28">
        <v>0.9355</v>
      </c>
      <c r="K73" s="46" t="s">
        <v>20</v>
      </c>
      <c r="L73" s="47"/>
      <c r="M73" s="48"/>
      <c r="P73" s="30"/>
      <c r="Q73" s="20" t="s">
        <v>39</v>
      </c>
      <c r="R73" s="21"/>
      <c r="S73" s="21"/>
      <c r="T73" s="22">
        <v>1500</v>
      </c>
      <c r="U73" s="27">
        <v>0.74550000000000005</v>
      </c>
      <c r="V73" s="27">
        <v>0.76049999999999995</v>
      </c>
      <c r="W73" s="17">
        <v>1</v>
      </c>
      <c r="X73" s="23">
        <v>0.83330000000000004</v>
      </c>
      <c r="Y73" s="46" t="s">
        <v>20</v>
      </c>
      <c r="Z73" s="47"/>
      <c r="AA73" s="48"/>
    </row>
    <row r="74" spans="2:27" ht="14.75" customHeight="1" x14ac:dyDescent="0.2">
      <c r="B74" s="30"/>
      <c r="C74" s="20"/>
      <c r="D74" s="21"/>
      <c r="E74" s="21"/>
      <c r="F74" s="22"/>
      <c r="G74" s="27"/>
      <c r="H74" s="27"/>
      <c r="I74" s="27"/>
      <c r="J74" s="28"/>
      <c r="K74" s="49"/>
      <c r="L74" s="50"/>
      <c r="M74" s="51"/>
      <c r="P74" s="30"/>
      <c r="Q74" s="20"/>
      <c r="R74" s="21"/>
      <c r="S74" s="21"/>
      <c r="T74" s="22"/>
      <c r="U74" s="27"/>
      <c r="V74" s="27"/>
      <c r="W74" s="18"/>
      <c r="X74" s="24"/>
      <c r="Y74" s="49"/>
      <c r="Z74" s="50"/>
      <c r="AA74" s="51"/>
    </row>
    <row r="75" spans="2:27" ht="15.75" customHeight="1" x14ac:dyDescent="0.2">
      <c r="B75" s="30"/>
      <c r="C75" s="20"/>
      <c r="D75" s="21"/>
      <c r="E75" s="21"/>
      <c r="F75" s="22"/>
      <c r="G75" s="27"/>
      <c r="H75" s="27"/>
      <c r="I75" s="27"/>
      <c r="J75" s="28"/>
      <c r="K75" s="49"/>
      <c r="L75" s="50"/>
      <c r="M75" s="51"/>
      <c r="P75" s="30"/>
      <c r="Q75" s="20"/>
      <c r="R75" s="21"/>
      <c r="S75" s="21"/>
      <c r="T75" s="22"/>
      <c r="U75" s="27"/>
      <c r="V75" s="27"/>
      <c r="W75" s="19"/>
      <c r="X75" s="25"/>
      <c r="Y75" s="49"/>
      <c r="Z75" s="50"/>
      <c r="AA75" s="51"/>
    </row>
    <row r="76" spans="2:27" ht="15.75" customHeight="1" x14ac:dyDescent="0.2">
      <c r="B76" s="30"/>
      <c r="C76" s="20" t="s">
        <v>118</v>
      </c>
      <c r="D76" s="21"/>
      <c r="E76" s="21"/>
      <c r="F76" s="22">
        <v>1500</v>
      </c>
      <c r="G76" s="22">
        <v>0.84089999999999998</v>
      </c>
      <c r="H76" s="22">
        <v>0.83230000000000004</v>
      </c>
      <c r="I76" s="22">
        <v>0.9355</v>
      </c>
      <c r="J76" s="55">
        <v>0.9355</v>
      </c>
      <c r="K76" s="49"/>
      <c r="L76" s="50"/>
      <c r="M76" s="51"/>
      <c r="P76" s="30"/>
      <c r="Q76" s="20" t="s">
        <v>109</v>
      </c>
      <c r="R76" s="21"/>
      <c r="S76" s="21"/>
      <c r="T76" s="22">
        <v>1500</v>
      </c>
      <c r="U76" s="27">
        <v>0.80649999999999999</v>
      </c>
      <c r="V76" s="27">
        <v>0.8246</v>
      </c>
      <c r="W76" s="27">
        <v>1</v>
      </c>
      <c r="X76" s="28">
        <v>0.91669999999999996</v>
      </c>
      <c r="Y76" s="49"/>
      <c r="Z76" s="50"/>
      <c r="AA76" s="51"/>
    </row>
    <row r="77" spans="2:27" ht="15.75" customHeight="1" x14ac:dyDescent="0.2">
      <c r="B77" s="30"/>
      <c r="C77" s="20"/>
      <c r="D77" s="21"/>
      <c r="E77" s="21"/>
      <c r="F77" s="22"/>
      <c r="G77" s="22"/>
      <c r="H77" s="22"/>
      <c r="I77" s="22"/>
      <c r="J77" s="55"/>
      <c r="K77" s="49"/>
      <c r="L77" s="50"/>
      <c r="M77" s="51"/>
      <c r="P77" s="30"/>
      <c r="Q77" s="20"/>
      <c r="R77" s="21"/>
      <c r="S77" s="21"/>
      <c r="T77" s="22"/>
      <c r="U77" s="27"/>
      <c r="V77" s="27"/>
      <c r="W77" s="27"/>
      <c r="X77" s="28"/>
      <c r="Y77" s="49"/>
      <c r="Z77" s="50"/>
      <c r="AA77" s="51"/>
    </row>
    <row r="78" spans="2:27" ht="15" customHeight="1" x14ac:dyDescent="0.2">
      <c r="B78" s="30"/>
      <c r="C78" s="20"/>
      <c r="D78" s="21"/>
      <c r="E78" s="21"/>
      <c r="F78" s="22"/>
      <c r="G78" s="22"/>
      <c r="H78" s="22"/>
      <c r="I78" s="22"/>
      <c r="J78" s="55"/>
      <c r="K78" s="49"/>
      <c r="L78" s="50"/>
      <c r="M78" s="51"/>
      <c r="P78" s="30"/>
      <c r="Q78" s="20"/>
      <c r="R78" s="21"/>
      <c r="S78" s="21"/>
      <c r="T78" s="22"/>
      <c r="U78" s="27"/>
      <c r="V78" s="27"/>
      <c r="W78" s="27"/>
      <c r="X78" s="28"/>
      <c r="Y78" s="49"/>
      <c r="Z78" s="50"/>
      <c r="AA78" s="51"/>
    </row>
    <row r="79" spans="2:27" x14ac:dyDescent="0.2">
      <c r="B79" s="30"/>
      <c r="C79" s="20" t="s">
        <v>45</v>
      </c>
      <c r="D79" s="21"/>
      <c r="E79" s="21"/>
      <c r="F79" s="22">
        <v>1500</v>
      </c>
      <c r="G79" s="26">
        <v>0.81140000000000001</v>
      </c>
      <c r="H79" s="26">
        <v>0.80179999999999996</v>
      </c>
      <c r="I79" s="27">
        <v>1</v>
      </c>
      <c r="J79" s="28">
        <v>0.9194</v>
      </c>
      <c r="K79" s="49"/>
      <c r="L79" s="50"/>
      <c r="M79" s="51"/>
      <c r="P79" s="30"/>
      <c r="Q79" s="20" t="s">
        <v>40</v>
      </c>
      <c r="R79" s="21"/>
      <c r="S79" s="21"/>
      <c r="T79" s="22">
        <v>1500</v>
      </c>
      <c r="U79" s="27">
        <v>0.82369999999999999</v>
      </c>
      <c r="V79" s="27">
        <v>0.83460000000000001</v>
      </c>
      <c r="W79" s="27">
        <v>1</v>
      </c>
      <c r="X79" s="28">
        <v>0.91669999999999996</v>
      </c>
      <c r="Y79" s="49"/>
      <c r="Z79" s="50"/>
      <c r="AA79" s="51"/>
    </row>
    <row r="80" spans="2:27" x14ac:dyDescent="0.2">
      <c r="B80" s="30"/>
      <c r="C80" s="20"/>
      <c r="D80" s="21"/>
      <c r="E80" s="21"/>
      <c r="F80" s="22"/>
      <c r="G80" s="26"/>
      <c r="H80" s="26"/>
      <c r="I80" s="27"/>
      <c r="J80" s="28"/>
      <c r="K80" s="49"/>
      <c r="L80" s="50"/>
      <c r="M80" s="51"/>
      <c r="P80" s="30"/>
      <c r="Q80" s="20"/>
      <c r="R80" s="21"/>
      <c r="S80" s="21"/>
      <c r="T80" s="22"/>
      <c r="U80" s="27"/>
      <c r="V80" s="27"/>
      <c r="W80" s="27"/>
      <c r="X80" s="28"/>
      <c r="Y80" s="49"/>
      <c r="Z80" s="50"/>
      <c r="AA80" s="51"/>
    </row>
    <row r="81" spans="2:27" x14ac:dyDescent="0.2">
      <c r="B81" s="30"/>
      <c r="C81" s="20"/>
      <c r="D81" s="21"/>
      <c r="E81" s="73"/>
      <c r="F81" s="22"/>
      <c r="G81" s="26"/>
      <c r="H81" s="26"/>
      <c r="I81" s="27"/>
      <c r="J81" s="28"/>
      <c r="K81" s="49"/>
      <c r="L81" s="50"/>
      <c r="M81" s="51"/>
      <c r="P81" s="30"/>
      <c r="Q81" s="20"/>
      <c r="R81" s="21"/>
      <c r="S81" s="73"/>
      <c r="T81" s="22"/>
      <c r="U81" s="27"/>
      <c r="V81" s="27"/>
      <c r="W81" s="27"/>
      <c r="X81" s="28"/>
      <c r="Y81" s="49"/>
      <c r="Z81" s="50"/>
      <c r="AA81" s="51"/>
    </row>
    <row r="82" spans="2:27" x14ac:dyDescent="0.2">
      <c r="B82" s="30"/>
      <c r="C82" s="20" t="s">
        <v>74</v>
      </c>
      <c r="D82" s="21"/>
      <c r="E82" s="21"/>
      <c r="F82" s="22">
        <v>1500</v>
      </c>
      <c r="G82" s="27">
        <v>0.80589999999999995</v>
      </c>
      <c r="H82" s="27">
        <v>0.80130000000000001</v>
      </c>
      <c r="I82" s="27">
        <v>0.9355</v>
      </c>
      <c r="J82" s="28">
        <v>0.9194</v>
      </c>
      <c r="K82" s="49"/>
      <c r="L82" s="50"/>
      <c r="M82" s="51"/>
      <c r="P82" s="30"/>
      <c r="Q82" s="20" t="s">
        <v>68</v>
      </c>
      <c r="R82" s="21"/>
      <c r="S82" s="21"/>
      <c r="T82" s="22">
        <v>1500</v>
      </c>
      <c r="U82" s="26">
        <v>0.83879999999999999</v>
      </c>
      <c r="V82" s="26">
        <v>0.84430000000000005</v>
      </c>
      <c r="W82" s="27">
        <v>1</v>
      </c>
      <c r="X82" s="28">
        <v>1</v>
      </c>
      <c r="Y82" s="49"/>
      <c r="Z82" s="50"/>
      <c r="AA82" s="51"/>
    </row>
    <row r="83" spans="2:27" x14ac:dyDescent="0.2">
      <c r="B83" s="30"/>
      <c r="C83" s="20"/>
      <c r="D83" s="21"/>
      <c r="E83" s="21"/>
      <c r="F83" s="22"/>
      <c r="G83" s="27"/>
      <c r="H83" s="27"/>
      <c r="I83" s="27"/>
      <c r="J83" s="28"/>
      <c r="K83" s="49"/>
      <c r="L83" s="50"/>
      <c r="M83" s="51"/>
      <c r="P83" s="30"/>
      <c r="Q83" s="20"/>
      <c r="R83" s="21"/>
      <c r="S83" s="21"/>
      <c r="T83" s="22"/>
      <c r="U83" s="26"/>
      <c r="V83" s="26"/>
      <c r="W83" s="27"/>
      <c r="X83" s="28"/>
      <c r="Y83" s="49"/>
      <c r="Z83" s="50"/>
      <c r="AA83" s="51"/>
    </row>
    <row r="84" spans="2:27" x14ac:dyDescent="0.2">
      <c r="B84" s="30"/>
      <c r="C84" s="20"/>
      <c r="D84" s="21"/>
      <c r="E84" s="73"/>
      <c r="F84" s="22"/>
      <c r="G84" s="27"/>
      <c r="H84" s="27"/>
      <c r="I84" s="27"/>
      <c r="J84" s="28"/>
      <c r="K84" s="49"/>
      <c r="L84" s="50"/>
      <c r="M84" s="51"/>
      <c r="P84" s="30"/>
      <c r="Q84" s="20"/>
      <c r="R84" s="21"/>
      <c r="S84" s="73"/>
      <c r="T84" s="22"/>
      <c r="U84" s="26"/>
      <c r="V84" s="26"/>
      <c r="W84" s="27"/>
      <c r="X84" s="28"/>
      <c r="Y84" s="49"/>
      <c r="Z84" s="50"/>
      <c r="AA84" s="51"/>
    </row>
    <row r="85" spans="2:27" ht="15" customHeight="1" x14ac:dyDescent="0.2">
      <c r="B85" s="30"/>
      <c r="C85" s="21" t="s">
        <v>75</v>
      </c>
      <c r="D85" s="21"/>
      <c r="E85" s="21"/>
      <c r="F85" s="22">
        <v>1500</v>
      </c>
      <c r="G85" s="27">
        <v>0.49819999999999998</v>
      </c>
      <c r="H85" s="27">
        <v>0.5071</v>
      </c>
      <c r="I85" s="27">
        <v>0.5806</v>
      </c>
      <c r="J85" s="28">
        <v>0.5484</v>
      </c>
      <c r="K85" s="49"/>
      <c r="L85" s="50"/>
      <c r="M85" s="51"/>
      <c r="P85" s="30"/>
      <c r="Q85" s="21" t="s">
        <v>69</v>
      </c>
      <c r="R85" s="21"/>
      <c r="S85" s="21"/>
      <c r="T85" s="22">
        <v>1500</v>
      </c>
      <c r="U85" s="27">
        <v>0.75460000000000005</v>
      </c>
      <c r="V85" s="27">
        <v>0.76780000000000004</v>
      </c>
      <c r="W85" s="17">
        <v>1</v>
      </c>
      <c r="X85" s="28">
        <v>0.91669999999999996</v>
      </c>
      <c r="Y85" s="49"/>
      <c r="Z85" s="50"/>
      <c r="AA85" s="51"/>
    </row>
    <row r="86" spans="2:27" ht="15" customHeight="1" x14ac:dyDescent="0.2">
      <c r="B86" s="30"/>
      <c r="C86" s="21"/>
      <c r="D86" s="21"/>
      <c r="E86" s="21"/>
      <c r="F86" s="22"/>
      <c r="G86" s="27"/>
      <c r="H86" s="27"/>
      <c r="I86" s="27"/>
      <c r="J86" s="28"/>
      <c r="K86" s="49"/>
      <c r="L86" s="50"/>
      <c r="M86" s="51"/>
      <c r="P86" s="30"/>
      <c r="Q86" s="21"/>
      <c r="R86" s="21"/>
      <c r="S86" s="21"/>
      <c r="T86" s="22"/>
      <c r="U86" s="27"/>
      <c r="V86" s="27"/>
      <c r="W86" s="18"/>
      <c r="X86" s="28"/>
      <c r="Y86" s="49"/>
      <c r="Z86" s="50"/>
      <c r="AA86" s="51"/>
    </row>
    <row r="87" spans="2:27" ht="15" customHeight="1" x14ac:dyDescent="0.2">
      <c r="B87" s="31"/>
      <c r="C87" s="21"/>
      <c r="D87" s="21"/>
      <c r="E87" s="21"/>
      <c r="F87" s="22"/>
      <c r="G87" s="27"/>
      <c r="H87" s="27"/>
      <c r="I87" s="27"/>
      <c r="J87" s="28"/>
      <c r="K87" s="52"/>
      <c r="L87" s="53"/>
      <c r="M87" s="54"/>
      <c r="P87" s="31"/>
      <c r="Q87" s="21"/>
      <c r="R87" s="21"/>
      <c r="S87" s="21"/>
      <c r="T87" s="22"/>
      <c r="U87" s="27"/>
      <c r="V87" s="27"/>
      <c r="W87" s="19"/>
      <c r="X87" s="28"/>
      <c r="Y87" s="52"/>
      <c r="Z87" s="53"/>
      <c r="AA87" s="54"/>
    </row>
    <row r="88" spans="2:27" ht="15" customHeight="1" x14ac:dyDescent="0.2"/>
    <row r="89" spans="2:27" ht="15.75" customHeight="1" x14ac:dyDescent="0.2"/>
    <row r="90" spans="2:27" ht="15.75" customHeight="1" x14ac:dyDescent="0.2"/>
    <row r="91" spans="2:27" ht="15.75" customHeight="1" x14ac:dyDescent="0.2"/>
    <row r="92" spans="2:27" ht="15" customHeight="1" x14ac:dyDescent="0.2"/>
    <row r="93" spans="2:27" ht="15" customHeight="1" x14ac:dyDescent="0.2"/>
    <row r="94" spans="2:27" ht="15" customHeight="1" x14ac:dyDescent="0.2"/>
    <row r="95" spans="2:27" ht="15" customHeight="1" x14ac:dyDescent="0.2"/>
    <row r="96" spans="2:27" ht="15" customHeight="1" x14ac:dyDescent="0.2"/>
    <row r="97" spans="30:30" ht="15" customHeight="1" x14ac:dyDescent="0.2"/>
    <row r="98" spans="30:30" ht="15.75" customHeight="1" x14ac:dyDescent="0.2"/>
    <row r="99" spans="30:30" ht="15.75" customHeight="1" x14ac:dyDescent="0.2"/>
    <row r="100" spans="30:30" ht="15.75" customHeight="1" x14ac:dyDescent="0.2"/>
    <row r="103" spans="30:30" x14ac:dyDescent="0.2">
      <c r="AD103" t="s">
        <v>91</v>
      </c>
    </row>
    <row r="106" spans="30:30" ht="15" customHeight="1" x14ac:dyDescent="0.2"/>
    <row r="107" spans="30:30" ht="15" customHeight="1" x14ac:dyDescent="0.2"/>
    <row r="108" spans="30:30" ht="15" customHeight="1" x14ac:dyDescent="0.2"/>
    <row r="109" spans="30:30" ht="15" customHeight="1" x14ac:dyDescent="0.2"/>
    <row r="110" spans="30:30" ht="15" customHeight="1" x14ac:dyDescent="0.2"/>
    <row r="111" spans="30:30" ht="15" customHeight="1" x14ac:dyDescent="0.2"/>
    <row r="112" spans="30:30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.75" customHeight="1" x14ac:dyDescent="0.2"/>
    <row r="119" ht="15.75" customHeight="1" x14ac:dyDescent="0.2"/>
    <row r="124" ht="15" customHeight="1" x14ac:dyDescent="0.2"/>
    <row r="125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</sheetData>
  <mergeCells count="302">
    <mergeCell ref="Q79:S81"/>
    <mergeCell ref="T79:T81"/>
    <mergeCell ref="U79:U81"/>
    <mergeCell ref="V79:V81"/>
    <mergeCell ref="W79:W81"/>
    <mergeCell ref="X79:X81"/>
    <mergeCell ref="Q82:S84"/>
    <mergeCell ref="X85:X87"/>
    <mergeCell ref="T82:T84"/>
    <mergeCell ref="U82:U84"/>
    <mergeCell ref="V82:V84"/>
    <mergeCell ref="W82:W84"/>
    <mergeCell ref="X82:X84"/>
    <mergeCell ref="Q85:S87"/>
    <mergeCell ref="T85:T87"/>
    <mergeCell ref="U85:U87"/>
    <mergeCell ref="V85:V87"/>
    <mergeCell ref="W85:W87"/>
    <mergeCell ref="P69:AA70"/>
    <mergeCell ref="Q71:T71"/>
    <mergeCell ref="U71:X71"/>
    <mergeCell ref="Y71:AA72"/>
    <mergeCell ref="Q72:S72"/>
    <mergeCell ref="Q73:S75"/>
    <mergeCell ref="T73:T75"/>
    <mergeCell ref="U73:U75"/>
    <mergeCell ref="V73:V75"/>
    <mergeCell ref="W73:W75"/>
    <mergeCell ref="X73:X75"/>
    <mergeCell ref="Q58:S60"/>
    <mergeCell ref="T58:T60"/>
    <mergeCell ref="U58:U60"/>
    <mergeCell ref="V58:V60"/>
    <mergeCell ref="W58:W60"/>
    <mergeCell ref="X58:X60"/>
    <mergeCell ref="Q64:S66"/>
    <mergeCell ref="T64:T66"/>
    <mergeCell ref="U64:U66"/>
    <mergeCell ref="V64:V66"/>
    <mergeCell ref="W64:W66"/>
    <mergeCell ref="X64:X66"/>
    <mergeCell ref="Q61:S63"/>
    <mergeCell ref="T61:T63"/>
    <mergeCell ref="U61:U63"/>
    <mergeCell ref="V61:V63"/>
    <mergeCell ref="W61:W63"/>
    <mergeCell ref="X61:X63"/>
    <mergeCell ref="U43:U45"/>
    <mergeCell ref="V43:V45"/>
    <mergeCell ref="W43:W45"/>
    <mergeCell ref="X43:X45"/>
    <mergeCell ref="Q50:T50"/>
    <mergeCell ref="U50:X50"/>
    <mergeCell ref="Y50:AA51"/>
    <mergeCell ref="Q51:S51"/>
    <mergeCell ref="Q52:S54"/>
    <mergeCell ref="T52:T54"/>
    <mergeCell ref="U52:U54"/>
    <mergeCell ref="V52:V54"/>
    <mergeCell ref="W52:W54"/>
    <mergeCell ref="X52:X54"/>
    <mergeCell ref="P27:AA28"/>
    <mergeCell ref="Q29:T29"/>
    <mergeCell ref="U29:X29"/>
    <mergeCell ref="Y29:AA30"/>
    <mergeCell ref="Q30:S30"/>
    <mergeCell ref="Q31:S33"/>
    <mergeCell ref="T31:T33"/>
    <mergeCell ref="U31:U33"/>
    <mergeCell ref="V31:V33"/>
    <mergeCell ref="W31:W33"/>
    <mergeCell ref="X31:X33"/>
    <mergeCell ref="T21:T23"/>
    <mergeCell ref="U21:U23"/>
    <mergeCell ref="V21:V23"/>
    <mergeCell ref="W21:W23"/>
    <mergeCell ref="X21:X23"/>
    <mergeCell ref="Q12:S14"/>
    <mergeCell ref="T12:T14"/>
    <mergeCell ref="U12:U14"/>
    <mergeCell ref="V12:V14"/>
    <mergeCell ref="W12:W14"/>
    <mergeCell ref="X12:X14"/>
    <mergeCell ref="G85:G87"/>
    <mergeCell ref="H85:H87"/>
    <mergeCell ref="I85:I87"/>
    <mergeCell ref="J85:J87"/>
    <mergeCell ref="P5:AA6"/>
    <mergeCell ref="Q7:T7"/>
    <mergeCell ref="U7:X7"/>
    <mergeCell ref="Y7:AA8"/>
    <mergeCell ref="Q8:S8"/>
    <mergeCell ref="J64:J66"/>
    <mergeCell ref="B69:M70"/>
    <mergeCell ref="C71:F71"/>
    <mergeCell ref="G71:J71"/>
    <mergeCell ref="K71:M72"/>
    <mergeCell ref="C72:E72"/>
    <mergeCell ref="C85:E87"/>
    <mergeCell ref="F85:F87"/>
    <mergeCell ref="C58:E60"/>
    <mergeCell ref="F58:F60"/>
    <mergeCell ref="G58:G60"/>
    <mergeCell ref="Q15:S17"/>
    <mergeCell ref="T15:T17"/>
    <mergeCell ref="U15:U17"/>
    <mergeCell ref="V15:V17"/>
    <mergeCell ref="I58:I60"/>
    <mergeCell ref="J58:J60"/>
    <mergeCell ref="C61:E63"/>
    <mergeCell ref="F61:F63"/>
    <mergeCell ref="G61:G63"/>
    <mergeCell ref="J43:J45"/>
    <mergeCell ref="B48:M49"/>
    <mergeCell ref="C50:F50"/>
    <mergeCell ref="G50:J50"/>
    <mergeCell ref="K50:M51"/>
    <mergeCell ref="C51:E51"/>
    <mergeCell ref="C52:E54"/>
    <mergeCell ref="F52:F54"/>
    <mergeCell ref="G52:G54"/>
    <mergeCell ref="H61:H63"/>
    <mergeCell ref="I61:I63"/>
    <mergeCell ref="J61:J63"/>
    <mergeCell ref="H52:H54"/>
    <mergeCell ref="I52:I54"/>
    <mergeCell ref="J52:J54"/>
    <mergeCell ref="C43:E45"/>
    <mergeCell ref="F43:F45"/>
    <mergeCell ref="G43:G45"/>
    <mergeCell ref="H43:H45"/>
    <mergeCell ref="K29:M30"/>
    <mergeCell ref="C30:E30"/>
    <mergeCell ref="C40:E42"/>
    <mergeCell ref="F40:F42"/>
    <mergeCell ref="G40:G42"/>
    <mergeCell ref="H40:H42"/>
    <mergeCell ref="I40:I42"/>
    <mergeCell ref="J40:J42"/>
    <mergeCell ref="C29:F29"/>
    <mergeCell ref="G29:J29"/>
    <mergeCell ref="J37:J39"/>
    <mergeCell ref="C31:E33"/>
    <mergeCell ref="C34:E36"/>
    <mergeCell ref="F34:F36"/>
    <mergeCell ref="G34:G36"/>
    <mergeCell ref="H34:H36"/>
    <mergeCell ref="I34:I36"/>
    <mergeCell ref="J34:J36"/>
    <mergeCell ref="I15:I17"/>
    <mergeCell ref="J9:J11"/>
    <mergeCell ref="C9:E11"/>
    <mergeCell ref="I43:I45"/>
    <mergeCell ref="C37:E39"/>
    <mergeCell ref="F37:F39"/>
    <mergeCell ref="G37:G39"/>
    <mergeCell ref="H37:H39"/>
    <mergeCell ref="I37:I39"/>
    <mergeCell ref="N10:N11"/>
    <mergeCell ref="B1:E1"/>
    <mergeCell ref="B2:E2"/>
    <mergeCell ref="B3:E3"/>
    <mergeCell ref="B4:E4"/>
    <mergeCell ref="F3:M3"/>
    <mergeCell ref="B5:M6"/>
    <mergeCell ref="C7:F7"/>
    <mergeCell ref="G7:J7"/>
    <mergeCell ref="K7:M8"/>
    <mergeCell ref="C8:E8"/>
    <mergeCell ref="F9:F11"/>
    <mergeCell ref="G9:G11"/>
    <mergeCell ref="H9:H11"/>
    <mergeCell ref="I9:I11"/>
    <mergeCell ref="B8:B23"/>
    <mergeCell ref="J18:J20"/>
    <mergeCell ref="C21:E23"/>
    <mergeCell ref="F21:F23"/>
    <mergeCell ref="G21:G23"/>
    <mergeCell ref="H21:H23"/>
    <mergeCell ref="I21:I23"/>
    <mergeCell ref="J21:J23"/>
    <mergeCell ref="G18:G20"/>
    <mergeCell ref="P8:P23"/>
    <mergeCell ref="Y9:AA23"/>
    <mergeCell ref="P48:AA49"/>
    <mergeCell ref="T34:T36"/>
    <mergeCell ref="U34:U36"/>
    <mergeCell ref="V34:V36"/>
    <mergeCell ref="W34:W36"/>
    <mergeCell ref="X34:X36"/>
    <mergeCell ref="Y31:AA45"/>
    <mergeCell ref="W15:W17"/>
    <mergeCell ref="X15:X17"/>
    <mergeCell ref="Q18:S20"/>
    <mergeCell ref="T18:T20"/>
    <mergeCell ref="U18:U20"/>
    <mergeCell ref="Q9:S11"/>
    <mergeCell ref="T9:T11"/>
    <mergeCell ref="U9:U11"/>
    <mergeCell ref="V9:V11"/>
    <mergeCell ref="W9:W11"/>
    <mergeCell ref="X9:X11"/>
    <mergeCell ref="V18:V20"/>
    <mergeCell ref="W18:W20"/>
    <mergeCell ref="X18:X20"/>
    <mergeCell ref="Q21:S23"/>
    <mergeCell ref="Q55:S57"/>
    <mergeCell ref="T55:T57"/>
    <mergeCell ref="U55:U57"/>
    <mergeCell ref="V55:V57"/>
    <mergeCell ref="W55:W57"/>
    <mergeCell ref="X55:X57"/>
    <mergeCell ref="P51:P66"/>
    <mergeCell ref="Y52:AA66"/>
    <mergeCell ref="Q34:S36"/>
    <mergeCell ref="P30:P45"/>
    <mergeCell ref="Q37:S39"/>
    <mergeCell ref="T37:T39"/>
    <mergeCell ref="U37:U39"/>
    <mergeCell ref="V37:V39"/>
    <mergeCell ref="W37:W39"/>
    <mergeCell ref="X37:X39"/>
    <mergeCell ref="Q40:S42"/>
    <mergeCell ref="T40:T42"/>
    <mergeCell ref="U40:U42"/>
    <mergeCell ref="V40:V42"/>
    <mergeCell ref="W40:W42"/>
    <mergeCell ref="X40:X42"/>
    <mergeCell ref="Q43:S45"/>
    <mergeCell ref="T43:T45"/>
    <mergeCell ref="Q76:S78"/>
    <mergeCell ref="T76:T78"/>
    <mergeCell ref="U76:U78"/>
    <mergeCell ref="V76:V78"/>
    <mergeCell ref="W76:W78"/>
    <mergeCell ref="X76:X78"/>
    <mergeCell ref="P72:P87"/>
    <mergeCell ref="Y73:AA87"/>
    <mergeCell ref="C76:E78"/>
    <mergeCell ref="F76:F78"/>
    <mergeCell ref="G76:G78"/>
    <mergeCell ref="H76:H78"/>
    <mergeCell ref="I76:I78"/>
    <mergeCell ref="J76:J78"/>
    <mergeCell ref="C73:E75"/>
    <mergeCell ref="F73:F75"/>
    <mergeCell ref="G73:G75"/>
    <mergeCell ref="H73:H75"/>
    <mergeCell ref="I73:I75"/>
    <mergeCell ref="J73:J75"/>
    <mergeCell ref="C82:E84"/>
    <mergeCell ref="F82:F84"/>
    <mergeCell ref="G82:G84"/>
    <mergeCell ref="H82:H84"/>
    <mergeCell ref="B72:B87"/>
    <mergeCell ref="K73:M87"/>
    <mergeCell ref="B51:B66"/>
    <mergeCell ref="K52:M66"/>
    <mergeCell ref="C55:E57"/>
    <mergeCell ref="F55:F57"/>
    <mergeCell ref="G55:G57"/>
    <mergeCell ref="H55:H57"/>
    <mergeCell ref="I55:I57"/>
    <mergeCell ref="J55:J57"/>
    <mergeCell ref="C64:E66"/>
    <mergeCell ref="F64:F66"/>
    <mergeCell ref="G64:G66"/>
    <mergeCell ref="H64:H66"/>
    <mergeCell ref="I64:I66"/>
    <mergeCell ref="I82:I84"/>
    <mergeCell ref="J82:J84"/>
    <mergeCell ref="C79:E81"/>
    <mergeCell ref="F79:F81"/>
    <mergeCell ref="G79:G81"/>
    <mergeCell ref="H79:H81"/>
    <mergeCell ref="I79:I81"/>
    <mergeCell ref="J79:J81"/>
    <mergeCell ref="H58:H60"/>
    <mergeCell ref="B30:B45"/>
    <mergeCell ref="K31:M45"/>
    <mergeCell ref="C12:E14"/>
    <mergeCell ref="F12:F14"/>
    <mergeCell ref="G12:G14"/>
    <mergeCell ref="H12:H14"/>
    <mergeCell ref="I12:I14"/>
    <mergeCell ref="J12:J14"/>
    <mergeCell ref="K9:M23"/>
    <mergeCell ref="F31:F33"/>
    <mergeCell ref="G31:G33"/>
    <mergeCell ref="H31:H33"/>
    <mergeCell ref="I31:I33"/>
    <mergeCell ref="J31:J33"/>
    <mergeCell ref="H18:H20"/>
    <mergeCell ref="I18:I20"/>
    <mergeCell ref="J15:J17"/>
    <mergeCell ref="C18:E20"/>
    <mergeCell ref="F18:F20"/>
    <mergeCell ref="B27:M28"/>
    <mergeCell ref="C15:E17"/>
    <mergeCell ref="F15:F17"/>
    <mergeCell ref="G15:G17"/>
    <mergeCell ref="H15:H17"/>
  </mergeCells>
  <hyperlinks>
    <hyperlink ref="I8" r:id="rId1" xr:uid="{00000000-0004-0000-0200-000000000000}"/>
    <hyperlink ref="J8" r:id="rId2" xr:uid="{00000000-0004-0000-0200-000001000000}"/>
    <hyperlink ref="I30" r:id="rId3" xr:uid="{00000000-0004-0000-0200-000002000000}"/>
    <hyperlink ref="J30" r:id="rId4" xr:uid="{00000000-0004-0000-0200-000003000000}"/>
    <hyperlink ref="I51" r:id="rId5" xr:uid="{00000000-0004-0000-0200-000004000000}"/>
    <hyperlink ref="J51" r:id="rId6" xr:uid="{00000000-0004-0000-0200-000005000000}"/>
    <hyperlink ref="I72" r:id="rId7" xr:uid="{00000000-0004-0000-0200-000006000000}"/>
    <hyperlink ref="J72" r:id="rId8" xr:uid="{00000000-0004-0000-0200-000007000000}"/>
    <hyperlink ref="W8" r:id="rId9" xr:uid="{00000000-0004-0000-0200-000008000000}"/>
    <hyperlink ref="X8" r:id="rId10" xr:uid="{00000000-0004-0000-0200-000009000000}"/>
    <hyperlink ref="W30" r:id="rId11" xr:uid="{00000000-0004-0000-0200-00000A000000}"/>
    <hyperlink ref="X30" r:id="rId12" xr:uid="{00000000-0004-0000-0200-00000B000000}"/>
    <hyperlink ref="W51" r:id="rId13" xr:uid="{00000000-0004-0000-0200-00000C000000}"/>
    <hyperlink ref="X51" r:id="rId14" xr:uid="{00000000-0004-0000-0200-00000D000000}"/>
    <hyperlink ref="W72" r:id="rId15" xr:uid="{00000000-0004-0000-0200-00000E000000}"/>
    <hyperlink ref="X72" r:id="rId16" xr:uid="{00000000-0004-0000-0200-00000F000000}"/>
    <hyperlink ref="F1" r:id="rId17" xr:uid="{00000000-0004-0000-0200-000010000000}"/>
  </hyperlinks>
  <pageMargins left="0.7" right="0.7" top="0.75" bottom="0.75" header="0.3" footer="0.3"/>
  <pageSetup paperSize="9" orientation="portrait" r:id="rId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AR87"/>
  <sheetViews>
    <sheetView topLeftCell="S1" zoomScale="90" zoomScaleNormal="85" workbookViewId="0">
      <selection activeCell="AD26" sqref="AD26"/>
    </sheetView>
  </sheetViews>
  <sheetFormatPr baseColWidth="10" defaultColWidth="8.83203125" defaultRowHeight="15" x14ac:dyDescent="0.2"/>
  <cols>
    <col min="7" max="7" width="21.5" customWidth="1"/>
    <col min="8" max="8" width="19.5" customWidth="1"/>
    <col min="9" max="9" width="17.1640625" customWidth="1"/>
    <col min="10" max="10" width="16.6640625" customWidth="1"/>
    <col min="13" max="13" width="23.5" customWidth="1"/>
    <col min="23" max="23" width="18.6640625" customWidth="1"/>
    <col min="31" max="31" width="18.5" customWidth="1"/>
    <col min="38" max="38" width="22.33203125" customWidth="1"/>
    <col min="39" max="39" width="19" customWidth="1"/>
    <col min="40" max="40" width="17.6640625" customWidth="1"/>
    <col min="41" max="41" width="19.83203125" customWidth="1"/>
  </cols>
  <sheetData>
    <row r="5" spans="2:44" ht="15" customHeight="1" x14ac:dyDescent="0.2">
      <c r="B5" s="77" t="s">
        <v>157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9"/>
      <c r="T5" s="77" t="s">
        <v>153</v>
      </c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  <c r="AG5" s="77" t="s">
        <v>48</v>
      </c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9"/>
    </row>
    <row r="6" spans="2:44" x14ac:dyDescent="0.2">
      <c r="B6" s="80"/>
      <c r="C6" s="81"/>
      <c r="D6" s="81"/>
      <c r="E6" s="81"/>
      <c r="F6" s="81"/>
      <c r="G6" s="81"/>
      <c r="H6" s="81"/>
      <c r="I6" s="81"/>
      <c r="J6" s="81"/>
      <c r="K6" s="81"/>
      <c r="L6" s="81"/>
      <c r="M6" s="82"/>
      <c r="T6" s="100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2"/>
      <c r="AG6" s="80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2"/>
    </row>
    <row r="7" spans="2:44" ht="16" x14ac:dyDescent="0.2">
      <c r="B7" s="11" t="s">
        <v>1</v>
      </c>
      <c r="C7" s="36" t="s">
        <v>0</v>
      </c>
      <c r="D7" s="37"/>
      <c r="E7" s="37"/>
      <c r="F7" s="37"/>
      <c r="G7" s="37" t="s">
        <v>2</v>
      </c>
      <c r="H7" s="37"/>
      <c r="I7" s="37"/>
      <c r="J7" s="37"/>
      <c r="K7" s="64" t="s">
        <v>1</v>
      </c>
      <c r="L7" s="65"/>
      <c r="M7" s="66"/>
      <c r="T7" s="11" t="s">
        <v>1</v>
      </c>
      <c r="U7" s="39" t="s">
        <v>0</v>
      </c>
      <c r="V7" s="39"/>
      <c r="W7" s="39"/>
      <c r="X7" s="39"/>
      <c r="Y7" s="39" t="s">
        <v>2</v>
      </c>
      <c r="Z7" s="39"/>
      <c r="AA7" s="39"/>
      <c r="AB7" s="39"/>
      <c r="AC7" s="39" t="s">
        <v>1</v>
      </c>
      <c r="AD7" s="39"/>
      <c r="AE7" s="39"/>
      <c r="AG7" s="11" t="s">
        <v>1</v>
      </c>
      <c r="AH7" s="36" t="s">
        <v>0</v>
      </c>
      <c r="AI7" s="37"/>
      <c r="AJ7" s="37"/>
      <c r="AK7" s="37"/>
      <c r="AL7" s="37" t="s">
        <v>2</v>
      </c>
      <c r="AM7" s="37"/>
      <c r="AN7" s="37"/>
      <c r="AO7" s="37"/>
      <c r="AP7" s="64" t="s">
        <v>19</v>
      </c>
      <c r="AQ7" s="65"/>
      <c r="AR7" s="66"/>
    </row>
    <row r="8" spans="2:44" ht="16" x14ac:dyDescent="0.2">
      <c r="B8" s="29" t="s">
        <v>90</v>
      </c>
      <c r="C8" s="38" t="s">
        <v>4</v>
      </c>
      <c r="D8" s="39"/>
      <c r="E8" s="39"/>
      <c r="F8" s="3" t="s">
        <v>17</v>
      </c>
      <c r="G8" s="1" t="s">
        <v>5</v>
      </c>
      <c r="H8" s="1" t="s">
        <v>6</v>
      </c>
      <c r="I8" s="2" t="s">
        <v>7</v>
      </c>
      <c r="J8" s="2" t="s">
        <v>8</v>
      </c>
      <c r="K8" s="74"/>
      <c r="L8" s="75"/>
      <c r="M8" s="76"/>
      <c r="T8" s="22" t="s">
        <v>90</v>
      </c>
      <c r="U8" s="39" t="s">
        <v>4</v>
      </c>
      <c r="V8" s="39"/>
      <c r="W8" s="39"/>
      <c r="X8" s="3" t="s">
        <v>17</v>
      </c>
      <c r="Y8" s="1" t="s">
        <v>5</v>
      </c>
      <c r="Z8" s="1" t="s">
        <v>6</v>
      </c>
      <c r="AA8" s="2" t="s">
        <v>7</v>
      </c>
      <c r="AB8" s="2" t="s">
        <v>8</v>
      </c>
      <c r="AC8" s="39"/>
      <c r="AD8" s="39"/>
      <c r="AE8" s="39"/>
      <c r="AG8" s="29" t="s">
        <v>90</v>
      </c>
      <c r="AH8" s="38" t="s">
        <v>4</v>
      </c>
      <c r="AI8" s="39"/>
      <c r="AJ8" s="39"/>
      <c r="AK8" s="3" t="s">
        <v>17</v>
      </c>
      <c r="AL8" s="1" t="s">
        <v>5</v>
      </c>
      <c r="AM8" s="1" t="s">
        <v>6</v>
      </c>
      <c r="AN8" s="2" t="s">
        <v>7</v>
      </c>
      <c r="AO8" s="2" t="s">
        <v>8</v>
      </c>
      <c r="AP8" s="74"/>
      <c r="AQ8" s="75"/>
      <c r="AR8" s="76"/>
    </row>
    <row r="9" spans="2:44" ht="15" customHeight="1" x14ac:dyDescent="0.2">
      <c r="B9" s="30"/>
      <c r="C9" s="20" t="s">
        <v>57</v>
      </c>
      <c r="D9" s="21"/>
      <c r="E9" s="21"/>
      <c r="F9" s="22">
        <v>1500</v>
      </c>
      <c r="G9" s="27">
        <v>0.62939999999999996</v>
      </c>
      <c r="H9" s="17">
        <v>0.65200000000000002</v>
      </c>
      <c r="I9" s="17">
        <v>0.8387</v>
      </c>
      <c r="J9" s="23">
        <v>0.8387</v>
      </c>
      <c r="K9" s="46" t="s">
        <v>155</v>
      </c>
      <c r="L9" s="47"/>
      <c r="M9" s="48"/>
      <c r="T9" s="22"/>
      <c r="U9" s="21" t="s">
        <v>99</v>
      </c>
      <c r="V9" s="21"/>
      <c r="W9" s="21"/>
      <c r="X9" s="22">
        <v>1500</v>
      </c>
      <c r="Y9" s="27">
        <v>0.47349999999999998</v>
      </c>
      <c r="Z9" s="27">
        <v>0.4763</v>
      </c>
      <c r="AA9" s="27">
        <v>0.4516</v>
      </c>
      <c r="AB9" s="27">
        <v>0.4355</v>
      </c>
      <c r="AC9" s="70" t="s">
        <v>154</v>
      </c>
      <c r="AD9" s="70"/>
      <c r="AE9" s="70"/>
      <c r="AG9" s="30"/>
      <c r="AH9" s="20" t="s">
        <v>99</v>
      </c>
      <c r="AI9" s="21"/>
      <c r="AJ9" s="21"/>
      <c r="AK9" s="22">
        <v>1500</v>
      </c>
      <c r="AL9" s="23" t="s">
        <v>134</v>
      </c>
      <c r="AM9" s="23" t="s">
        <v>135</v>
      </c>
      <c r="AN9" s="23" t="s">
        <v>136</v>
      </c>
      <c r="AO9" s="23" t="s">
        <v>136</v>
      </c>
      <c r="AP9" s="46" t="s">
        <v>20</v>
      </c>
      <c r="AQ9" s="47"/>
      <c r="AR9" s="48"/>
    </row>
    <row r="10" spans="2:44" ht="15" customHeight="1" x14ac:dyDescent="0.2">
      <c r="B10" s="30"/>
      <c r="C10" s="20"/>
      <c r="D10" s="21"/>
      <c r="E10" s="21"/>
      <c r="F10" s="22"/>
      <c r="G10" s="27"/>
      <c r="H10" s="18"/>
      <c r="I10" s="18"/>
      <c r="J10" s="24"/>
      <c r="K10" s="49"/>
      <c r="L10" s="50"/>
      <c r="M10" s="51"/>
      <c r="N10" s="103"/>
      <c r="T10" s="22"/>
      <c r="U10" s="21"/>
      <c r="V10" s="21"/>
      <c r="W10" s="21"/>
      <c r="X10" s="22"/>
      <c r="Y10" s="27"/>
      <c r="Z10" s="27"/>
      <c r="AA10" s="27"/>
      <c r="AB10" s="27"/>
      <c r="AC10" s="70"/>
      <c r="AD10" s="70"/>
      <c r="AE10" s="70"/>
      <c r="AG10" s="30"/>
      <c r="AH10" s="20"/>
      <c r="AI10" s="21"/>
      <c r="AJ10" s="21"/>
      <c r="AK10" s="22"/>
      <c r="AL10" s="24"/>
      <c r="AM10" s="24"/>
      <c r="AN10" s="24"/>
      <c r="AO10" s="24"/>
      <c r="AP10" s="49"/>
      <c r="AQ10" s="50"/>
      <c r="AR10" s="51"/>
    </row>
    <row r="11" spans="2:44" ht="15" customHeight="1" x14ac:dyDescent="0.2">
      <c r="B11" s="30"/>
      <c r="C11" s="20"/>
      <c r="D11" s="21"/>
      <c r="E11" s="21"/>
      <c r="F11" s="22"/>
      <c r="G11" s="27"/>
      <c r="H11" s="19"/>
      <c r="I11" s="19"/>
      <c r="J11" s="25"/>
      <c r="K11" s="49"/>
      <c r="L11" s="50"/>
      <c r="M11" s="51"/>
      <c r="N11" s="103"/>
      <c r="T11" s="22"/>
      <c r="U11" s="21"/>
      <c r="V11" s="21"/>
      <c r="W11" s="21"/>
      <c r="X11" s="22"/>
      <c r="Y11" s="27"/>
      <c r="Z11" s="27"/>
      <c r="AA11" s="27"/>
      <c r="AB11" s="27"/>
      <c r="AC11" s="70"/>
      <c r="AD11" s="70"/>
      <c r="AE11" s="70"/>
      <c r="AG11" s="30"/>
      <c r="AH11" s="20"/>
      <c r="AI11" s="21"/>
      <c r="AJ11" s="21"/>
      <c r="AK11" s="22"/>
      <c r="AL11" s="25"/>
      <c r="AM11" s="25"/>
      <c r="AN11" s="25"/>
      <c r="AO11" s="25"/>
      <c r="AP11" s="49"/>
      <c r="AQ11" s="50"/>
      <c r="AR11" s="51"/>
    </row>
    <row r="12" spans="2:44" ht="15" customHeight="1" x14ac:dyDescent="0.2">
      <c r="B12" s="30"/>
      <c r="C12" s="20" t="s">
        <v>114</v>
      </c>
      <c r="D12" s="21"/>
      <c r="E12" s="21"/>
      <c r="F12" s="22">
        <v>1500</v>
      </c>
      <c r="G12" s="22">
        <v>0.63119999999999998</v>
      </c>
      <c r="H12" s="22">
        <v>0.66080000000000005</v>
      </c>
      <c r="I12" s="22">
        <v>0.8387</v>
      </c>
      <c r="J12" s="55">
        <v>0.7903</v>
      </c>
      <c r="K12" s="49"/>
      <c r="L12" s="50"/>
      <c r="M12" s="51"/>
      <c r="N12" s="14"/>
      <c r="T12" s="22"/>
      <c r="U12" s="21" t="s">
        <v>107</v>
      </c>
      <c r="V12" s="21"/>
      <c r="W12" s="21"/>
      <c r="X12" s="22">
        <v>1500</v>
      </c>
      <c r="Y12" s="27">
        <v>0.51290000000000002</v>
      </c>
      <c r="Z12" s="27">
        <v>0.51990000000000003</v>
      </c>
      <c r="AA12" s="27">
        <v>0.5806</v>
      </c>
      <c r="AB12" s="27">
        <v>0.5968</v>
      </c>
      <c r="AC12" s="70"/>
      <c r="AD12" s="70"/>
      <c r="AE12" s="70"/>
      <c r="AG12" s="30"/>
      <c r="AH12" s="20" t="s">
        <v>107</v>
      </c>
      <c r="AI12" s="21"/>
      <c r="AJ12" s="21"/>
      <c r="AK12" s="22">
        <v>1500</v>
      </c>
      <c r="AL12" s="17" t="s">
        <v>131</v>
      </c>
      <c r="AM12" s="17" t="s">
        <v>132</v>
      </c>
      <c r="AN12" s="17" t="s">
        <v>125</v>
      </c>
      <c r="AO12" s="23" t="s">
        <v>133</v>
      </c>
      <c r="AP12" s="49"/>
      <c r="AQ12" s="50"/>
      <c r="AR12" s="51"/>
    </row>
    <row r="13" spans="2:44" ht="15" customHeight="1" x14ac:dyDescent="0.2">
      <c r="B13" s="30"/>
      <c r="C13" s="20"/>
      <c r="D13" s="21"/>
      <c r="E13" s="21"/>
      <c r="F13" s="22"/>
      <c r="G13" s="22"/>
      <c r="H13" s="22"/>
      <c r="I13" s="22"/>
      <c r="J13" s="55"/>
      <c r="K13" s="49"/>
      <c r="L13" s="50"/>
      <c r="M13" s="51"/>
      <c r="T13" s="22"/>
      <c r="U13" s="21"/>
      <c r="V13" s="21"/>
      <c r="W13" s="21"/>
      <c r="X13" s="22"/>
      <c r="Y13" s="27"/>
      <c r="Z13" s="27"/>
      <c r="AA13" s="27"/>
      <c r="AB13" s="27"/>
      <c r="AC13" s="70"/>
      <c r="AD13" s="70"/>
      <c r="AE13" s="70"/>
      <c r="AG13" s="30"/>
      <c r="AH13" s="20"/>
      <c r="AI13" s="21"/>
      <c r="AJ13" s="21"/>
      <c r="AK13" s="22"/>
      <c r="AL13" s="18"/>
      <c r="AM13" s="18"/>
      <c r="AN13" s="18"/>
      <c r="AO13" s="24"/>
      <c r="AP13" s="49"/>
      <c r="AQ13" s="50"/>
      <c r="AR13" s="51"/>
    </row>
    <row r="14" spans="2:44" ht="15" customHeight="1" x14ac:dyDescent="0.2">
      <c r="B14" s="30"/>
      <c r="C14" s="20"/>
      <c r="D14" s="21"/>
      <c r="E14" s="21"/>
      <c r="F14" s="22"/>
      <c r="G14" s="22"/>
      <c r="H14" s="22"/>
      <c r="I14" s="22"/>
      <c r="J14" s="55"/>
      <c r="K14" s="49"/>
      <c r="L14" s="50"/>
      <c r="M14" s="51"/>
      <c r="T14" s="22"/>
      <c r="U14" s="21"/>
      <c r="V14" s="21"/>
      <c r="W14" s="21"/>
      <c r="X14" s="22"/>
      <c r="Y14" s="27"/>
      <c r="Z14" s="27"/>
      <c r="AA14" s="27"/>
      <c r="AB14" s="27"/>
      <c r="AC14" s="70"/>
      <c r="AD14" s="70"/>
      <c r="AE14" s="70"/>
      <c r="AG14" s="30"/>
      <c r="AH14" s="20"/>
      <c r="AI14" s="21"/>
      <c r="AJ14" s="21"/>
      <c r="AK14" s="22"/>
      <c r="AL14" s="19"/>
      <c r="AM14" s="19"/>
      <c r="AN14" s="19"/>
      <c r="AO14" s="25"/>
      <c r="AP14" s="49"/>
      <c r="AQ14" s="50"/>
      <c r="AR14" s="51"/>
    </row>
    <row r="15" spans="2:44" ht="15" customHeight="1" x14ac:dyDescent="0.2">
      <c r="B15" s="30"/>
      <c r="C15" s="20" t="s">
        <v>42</v>
      </c>
      <c r="D15" s="21"/>
      <c r="E15" s="21"/>
      <c r="F15" s="22">
        <v>1500</v>
      </c>
      <c r="G15" s="26">
        <v>0.74539999999999995</v>
      </c>
      <c r="H15" s="26">
        <v>0.74570000000000003</v>
      </c>
      <c r="I15" s="27">
        <v>0.871</v>
      </c>
      <c r="J15" s="28">
        <v>0.8387</v>
      </c>
      <c r="K15" s="49"/>
      <c r="L15" s="50"/>
      <c r="M15" s="51"/>
      <c r="T15" s="22"/>
      <c r="U15" s="21" t="s">
        <v>100</v>
      </c>
      <c r="V15" s="21"/>
      <c r="W15" s="21"/>
      <c r="X15" s="22">
        <v>1500</v>
      </c>
      <c r="Y15" s="27">
        <v>0.56720000000000004</v>
      </c>
      <c r="Z15" s="27">
        <v>0.56910000000000005</v>
      </c>
      <c r="AA15" s="27">
        <v>0.7742</v>
      </c>
      <c r="AB15" s="27">
        <v>0.5968</v>
      </c>
      <c r="AC15" s="70"/>
      <c r="AD15" s="70"/>
      <c r="AE15" s="70"/>
      <c r="AG15" s="30"/>
      <c r="AH15" s="20" t="s">
        <v>100</v>
      </c>
      <c r="AI15" s="21"/>
      <c r="AJ15" s="21"/>
      <c r="AK15" s="22">
        <v>1500</v>
      </c>
      <c r="AL15" s="26" t="s">
        <v>127</v>
      </c>
      <c r="AM15" s="26" t="s">
        <v>128</v>
      </c>
      <c r="AN15" s="27" t="s">
        <v>129</v>
      </c>
      <c r="AO15" s="28" t="s">
        <v>130</v>
      </c>
      <c r="AP15" s="49"/>
      <c r="AQ15" s="50"/>
      <c r="AR15" s="51"/>
    </row>
    <row r="16" spans="2:44" ht="15" customHeight="1" x14ac:dyDescent="0.2">
      <c r="B16" s="30"/>
      <c r="C16" s="20"/>
      <c r="D16" s="21"/>
      <c r="E16" s="21"/>
      <c r="F16" s="22"/>
      <c r="G16" s="26"/>
      <c r="H16" s="26"/>
      <c r="I16" s="27"/>
      <c r="J16" s="28"/>
      <c r="K16" s="49"/>
      <c r="L16" s="50"/>
      <c r="M16" s="51"/>
      <c r="T16" s="22"/>
      <c r="U16" s="21"/>
      <c r="V16" s="21"/>
      <c r="W16" s="21"/>
      <c r="X16" s="22"/>
      <c r="Y16" s="27"/>
      <c r="Z16" s="27"/>
      <c r="AA16" s="27"/>
      <c r="AB16" s="27"/>
      <c r="AC16" s="70"/>
      <c r="AD16" s="70"/>
      <c r="AE16" s="70"/>
      <c r="AG16" s="30"/>
      <c r="AH16" s="20"/>
      <c r="AI16" s="21"/>
      <c r="AJ16" s="21"/>
      <c r="AK16" s="22"/>
      <c r="AL16" s="26"/>
      <c r="AM16" s="26"/>
      <c r="AN16" s="27"/>
      <c r="AO16" s="28"/>
      <c r="AP16" s="49"/>
      <c r="AQ16" s="50"/>
      <c r="AR16" s="51"/>
    </row>
    <row r="17" spans="2:44" ht="15" customHeight="1" x14ac:dyDescent="0.2">
      <c r="B17" s="30"/>
      <c r="C17" s="20"/>
      <c r="D17" s="21"/>
      <c r="E17" s="73"/>
      <c r="F17" s="22"/>
      <c r="G17" s="26"/>
      <c r="H17" s="26"/>
      <c r="I17" s="27"/>
      <c r="J17" s="28"/>
      <c r="K17" s="49"/>
      <c r="L17" s="50"/>
      <c r="M17" s="51"/>
      <c r="T17" s="22"/>
      <c r="U17" s="21"/>
      <c r="V17" s="21"/>
      <c r="W17" s="21"/>
      <c r="X17" s="22"/>
      <c r="Y17" s="27"/>
      <c r="Z17" s="27"/>
      <c r="AA17" s="27"/>
      <c r="AB17" s="27"/>
      <c r="AC17" s="70"/>
      <c r="AD17" s="70"/>
      <c r="AE17" s="70"/>
      <c r="AG17" s="30"/>
      <c r="AH17" s="20"/>
      <c r="AI17" s="21"/>
      <c r="AJ17" s="73"/>
      <c r="AK17" s="22"/>
      <c r="AL17" s="26"/>
      <c r="AM17" s="26"/>
      <c r="AN17" s="27"/>
      <c r="AO17" s="28"/>
      <c r="AP17" s="49"/>
      <c r="AQ17" s="50"/>
      <c r="AR17" s="51"/>
    </row>
    <row r="18" spans="2:44" ht="15" customHeight="1" x14ac:dyDescent="0.2">
      <c r="B18" s="30"/>
      <c r="C18" s="20" t="s">
        <v>51</v>
      </c>
      <c r="D18" s="21"/>
      <c r="E18" s="21"/>
      <c r="F18" s="22">
        <v>1500</v>
      </c>
      <c r="G18" s="27">
        <v>0.69889999999999997</v>
      </c>
      <c r="H18" s="27">
        <v>0.69789999999999996</v>
      </c>
      <c r="I18" s="27">
        <v>0.8387</v>
      </c>
      <c r="J18" s="28">
        <v>0.80649999999999999</v>
      </c>
      <c r="K18" s="49"/>
      <c r="L18" s="50"/>
      <c r="M18" s="51"/>
      <c r="T18" s="22"/>
      <c r="U18" s="21" t="s">
        <v>101</v>
      </c>
      <c r="V18" s="21"/>
      <c r="W18" s="21"/>
      <c r="X18" s="22">
        <v>1500</v>
      </c>
      <c r="Y18" s="27">
        <v>0.5675</v>
      </c>
      <c r="Z18" s="27">
        <v>0.57010000000000005</v>
      </c>
      <c r="AA18" s="27">
        <v>0.7419</v>
      </c>
      <c r="AB18" s="27">
        <v>0.629</v>
      </c>
      <c r="AC18" s="70"/>
      <c r="AD18" s="70"/>
      <c r="AE18" s="70"/>
      <c r="AG18" s="30"/>
      <c r="AH18" s="20" t="s">
        <v>101</v>
      </c>
      <c r="AI18" s="21"/>
      <c r="AJ18" s="21"/>
      <c r="AK18" s="22">
        <v>1500</v>
      </c>
      <c r="AL18" s="27" t="s">
        <v>123</v>
      </c>
      <c r="AM18" s="27" t="s">
        <v>124</v>
      </c>
      <c r="AN18" s="27" t="s">
        <v>125</v>
      </c>
      <c r="AO18" s="28" t="s">
        <v>126</v>
      </c>
      <c r="AP18" s="49"/>
      <c r="AQ18" s="50"/>
      <c r="AR18" s="51"/>
    </row>
    <row r="19" spans="2:44" ht="15" customHeight="1" x14ac:dyDescent="0.2">
      <c r="B19" s="30"/>
      <c r="C19" s="20"/>
      <c r="D19" s="21"/>
      <c r="E19" s="21"/>
      <c r="F19" s="22"/>
      <c r="G19" s="27"/>
      <c r="H19" s="27"/>
      <c r="I19" s="27"/>
      <c r="J19" s="28"/>
      <c r="K19" s="49"/>
      <c r="L19" s="50"/>
      <c r="M19" s="51"/>
      <c r="T19" s="22"/>
      <c r="U19" s="21"/>
      <c r="V19" s="21"/>
      <c r="W19" s="21"/>
      <c r="X19" s="22"/>
      <c r="Y19" s="27"/>
      <c r="Z19" s="27"/>
      <c r="AA19" s="27"/>
      <c r="AB19" s="27"/>
      <c r="AC19" s="70"/>
      <c r="AD19" s="70"/>
      <c r="AE19" s="70"/>
      <c r="AG19" s="30"/>
      <c r="AH19" s="20"/>
      <c r="AI19" s="21"/>
      <c r="AJ19" s="21"/>
      <c r="AK19" s="22"/>
      <c r="AL19" s="27"/>
      <c r="AM19" s="27"/>
      <c r="AN19" s="27"/>
      <c r="AO19" s="28"/>
      <c r="AP19" s="49"/>
      <c r="AQ19" s="50"/>
      <c r="AR19" s="51"/>
    </row>
    <row r="20" spans="2:44" ht="15" customHeight="1" x14ac:dyDescent="0.2">
      <c r="B20" s="31"/>
      <c r="C20" s="20"/>
      <c r="D20" s="21"/>
      <c r="E20" s="21"/>
      <c r="F20" s="22"/>
      <c r="G20" s="27"/>
      <c r="H20" s="27"/>
      <c r="I20" s="27"/>
      <c r="J20" s="28"/>
      <c r="K20" s="52"/>
      <c r="L20" s="53"/>
      <c r="M20" s="54"/>
      <c r="T20" s="22"/>
      <c r="U20" s="21"/>
      <c r="V20" s="21"/>
      <c r="W20" s="21"/>
      <c r="X20" s="22"/>
      <c r="Y20" s="27"/>
      <c r="Z20" s="27"/>
      <c r="AA20" s="27"/>
      <c r="AB20" s="27"/>
      <c r="AC20" s="70"/>
      <c r="AD20" s="70"/>
      <c r="AE20" s="70"/>
      <c r="AG20" s="30"/>
      <c r="AH20" s="20"/>
      <c r="AI20" s="21"/>
      <c r="AJ20" s="73"/>
      <c r="AK20" s="22"/>
      <c r="AL20" s="27"/>
      <c r="AM20" s="27"/>
      <c r="AN20" s="27"/>
      <c r="AO20" s="28"/>
      <c r="AP20" s="49"/>
      <c r="AQ20" s="50"/>
      <c r="AR20" s="51"/>
    </row>
    <row r="21" spans="2:44" ht="15" customHeight="1" x14ac:dyDescent="0.2">
      <c r="C21" s="5"/>
      <c r="D21" s="5"/>
      <c r="E21" s="5"/>
      <c r="T21" s="6"/>
      <c r="U21" s="16"/>
      <c r="V21" s="16"/>
      <c r="W21" s="16"/>
      <c r="AG21" s="30"/>
      <c r="AH21" s="21" t="s">
        <v>102</v>
      </c>
      <c r="AI21" s="21"/>
      <c r="AJ21" s="21"/>
      <c r="AK21" s="22">
        <v>1500</v>
      </c>
      <c r="AL21" s="17" t="s">
        <v>119</v>
      </c>
      <c r="AM21" s="17" t="s">
        <v>120</v>
      </c>
      <c r="AN21" s="17" t="s">
        <v>121</v>
      </c>
      <c r="AO21" s="17" t="s">
        <v>122</v>
      </c>
      <c r="AP21" s="49"/>
      <c r="AQ21" s="50"/>
      <c r="AR21" s="51"/>
    </row>
    <row r="22" spans="2:44" ht="15" customHeight="1" x14ac:dyDescent="0.2">
      <c r="C22" s="5"/>
      <c r="D22" s="5"/>
      <c r="E22" s="5"/>
      <c r="T22" s="6"/>
      <c r="U22" s="16"/>
      <c r="V22" s="16"/>
      <c r="W22" s="16"/>
      <c r="AG22" s="30"/>
      <c r="AH22" s="21"/>
      <c r="AI22" s="21"/>
      <c r="AJ22" s="21"/>
      <c r="AK22" s="22"/>
      <c r="AL22" s="18"/>
      <c r="AM22" s="18"/>
      <c r="AN22" s="18"/>
      <c r="AO22" s="18"/>
      <c r="AP22" s="49"/>
      <c r="AQ22" s="50"/>
      <c r="AR22" s="51"/>
    </row>
    <row r="23" spans="2:44" ht="15" customHeight="1" x14ac:dyDescent="0.2">
      <c r="T23" s="6"/>
      <c r="U23" s="16"/>
      <c r="V23" s="16"/>
      <c r="W23" s="16"/>
      <c r="AG23" s="31"/>
      <c r="AH23" s="21"/>
      <c r="AI23" s="21"/>
      <c r="AJ23" s="21"/>
      <c r="AK23" s="22"/>
      <c r="AL23" s="19"/>
      <c r="AM23" s="19"/>
      <c r="AN23" s="19"/>
      <c r="AO23" s="19"/>
      <c r="AP23" s="52"/>
      <c r="AQ23" s="53"/>
      <c r="AR23" s="54"/>
    </row>
    <row r="27" spans="2:44" ht="15" customHeight="1" x14ac:dyDescent="0.2">
      <c r="B27" s="77" t="s">
        <v>156</v>
      </c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  <c r="T27" s="77" t="s">
        <v>152</v>
      </c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9"/>
      <c r="AG27" s="77" t="s">
        <v>48</v>
      </c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9"/>
    </row>
    <row r="28" spans="2:44" ht="15" customHeight="1" x14ac:dyDescent="0.2">
      <c r="B28" s="100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2"/>
      <c r="T28" s="100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2"/>
      <c r="AG28" s="80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2"/>
    </row>
    <row r="29" spans="2:44" ht="16" x14ac:dyDescent="0.2">
      <c r="B29" s="11" t="s">
        <v>1</v>
      </c>
      <c r="C29" s="36" t="s">
        <v>0</v>
      </c>
      <c r="D29" s="37"/>
      <c r="E29" s="37"/>
      <c r="F29" s="37"/>
      <c r="G29" s="37" t="s">
        <v>2</v>
      </c>
      <c r="H29" s="37"/>
      <c r="I29" s="37"/>
      <c r="J29" s="37"/>
      <c r="K29" s="64" t="s">
        <v>1</v>
      </c>
      <c r="L29" s="65"/>
      <c r="M29" s="66"/>
      <c r="T29" s="11" t="s">
        <v>1</v>
      </c>
      <c r="U29" s="39" t="s">
        <v>0</v>
      </c>
      <c r="V29" s="39"/>
      <c r="W29" s="39"/>
      <c r="X29" s="39"/>
      <c r="Y29" s="39" t="s">
        <v>2</v>
      </c>
      <c r="Z29" s="39"/>
      <c r="AA29" s="39"/>
      <c r="AB29" s="39"/>
      <c r="AC29" s="39" t="s">
        <v>1</v>
      </c>
      <c r="AD29" s="39"/>
      <c r="AE29" s="39"/>
      <c r="AG29" s="11" t="s">
        <v>1</v>
      </c>
      <c r="AH29" s="36" t="s">
        <v>0</v>
      </c>
      <c r="AI29" s="37"/>
      <c r="AJ29" s="37"/>
      <c r="AK29" s="37"/>
      <c r="AL29" s="37" t="s">
        <v>2</v>
      </c>
      <c r="AM29" s="37"/>
      <c r="AN29" s="37"/>
      <c r="AO29" s="37"/>
      <c r="AP29" s="64" t="s">
        <v>19</v>
      </c>
      <c r="AQ29" s="65"/>
      <c r="AR29" s="66"/>
    </row>
    <row r="30" spans="2:44" ht="16" x14ac:dyDescent="0.2">
      <c r="B30" s="29" t="s">
        <v>90</v>
      </c>
      <c r="C30" s="38" t="s">
        <v>4</v>
      </c>
      <c r="D30" s="39"/>
      <c r="E30" s="39"/>
      <c r="F30" s="3" t="s">
        <v>17</v>
      </c>
      <c r="G30" s="1" t="s">
        <v>5</v>
      </c>
      <c r="H30" s="1" t="s">
        <v>6</v>
      </c>
      <c r="I30" s="2" t="s">
        <v>7</v>
      </c>
      <c r="J30" s="2" t="s">
        <v>8</v>
      </c>
      <c r="K30" s="74"/>
      <c r="L30" s="75"/>
      <c r="M30" s="76"/>
      <c r="T30" s="22" t="s">
        <v>90</v>
      </c>
      <c r="U30" s="39" t="s">
        <v>4</v>
      </c>
      <c r="V30" s="39"/>
      <c r="W30" s="39"/>
      <c r="X30" s="3" t="s">
        <v>17</v>
      </c>
      <c r="Y30" s="1" t="s">
        <v>5</v>
      </c>
      <c r="Z30" s="1" t="s">
        <v>6</v>
      </c>
      <c r="AA30" s="2" t="s">
        <v>7</v>
      </c>
      <c r="AB30" s="2" t="s">
        <v>8</v>
      </c>
      <c r="AC30" s="39"/>
      <c r="AD30" s="39"/>
      <c r="AE30" s="39"/>
      <c r="AG30" s="29" t="s">
        <v>90</v>
      </c>
      <c r="AH30" s="38" t="s">
        <v>4</v>
      </c>
      <c r="AI30" s="39"/>
      <c r="AJ30" s="39"/>
      <c r="AK30" s="3" t="s">
        <v>17</v>
      </c>
      <c r="AL30" s="1" t="s">
        <v>5</v>
      </c>
      <c r="AM30" s="1" t="s">
        <v>6</v>
      </c>
      <c r="AN30" s="2" t="s">
        <v>7</v>
      </c>
      <c r="AO30" s="2" t="s">
        <v>8</v>
      </c>
      <c r="AP30" s="74"/>
      <c r="AQ30" s="75"/>
      <c r="AR30" s="76"/>
    </row>
    <row r="31" spans="2:44" ht="15" customHeight="1" x14ac:dyDescent="0.2">
      <c r="B31" s="30"/>
      <c r="C31" s="20" t="s">
        <v>56</v>
      </c>
      <c r="D31" s="21"/>
      <c r="E31" s="21"/>
      <c r="F31" s="22">
        <v>1500</v>
      </c>
      <c r="G31" s="17">
        <v>0.58289999999999997</v>
      </c>
      <c r="H31" s="17">
        <v>0.63329999999999997</v>
      </c>
      <c r="I31" s="17">
        <v>0.8387</v>
      </c>
      <c r="J31" s="23">
        <v>0.7742</v>
      </c>
      <c r="K31" s="46" t="s">
        <v>155</v>
      </c>
      <c r="L31" s="47"/>
      <c r="M31" s="48"/>
      <c r="T31" s="22"/>
      <c r="U31" s="21" t="s">
        <v>103</v>
      </c>
      <c r="V31" s="21"/>
      <c r="W31" s="21"/>
      <c r="X31" s="22">
        <v>1500</v>
      </c>
      <c r="Y31" s="27">
        <v>0.46779999999999999</v>
      </c>
      <c r="Z31" s="27">
        <v>0.49609999999999999</v>
      </c>
      <c r="AA31" s="27">
        <v>0.5</v>
      </c>
      <c r="AB31" s="27">
        <v>0.33329999999999999</v>
      </c>
      <c r="AC31" s="70" t="s">
        <v>154</v>
      </c>
      <c r="AD31" s="70"/>
      <c r="AE31" s="70"/>
      <c r="AG31" s="30"/>
      <c r="AH31" s="20" t="s">
        <v>99</v>
      </c>
      <c r="AI31" s="21"/>
      <c r="AJ31" s="21"/>
      <c r="AK31" s="22">
        <v>1500</v>
      </c>
      <c r="AL31" s="23" t="s">
        <v>134</v>
      </c>
      <c r="AM31" s="23" t="s">
        <v>135</v>
      </c>
      <c r="AN31" s="23" t="s">
        <v>136</v>
      </c>
      <c r="AO31" s="23" t="s">
        <v>136</v>
      </c>
      <c r="AP31" s="46" t="s">
        <v>20</v>
      </c>
      <c r="AQ31" s="47"/>
      <c r="AR31" s="48"/>
    </row>
    <row r="32" spans="2:44" ht="15" customHeight="1" x14ac:dyDescent="0.2">
      <c r="B32" s="30"/>
      <c r="C32" s="20"/>
      <c r="D32" s="21"/>
      <c r="E32" s="21"/>
      <c r="F32" s="22"/>
      <c r="G32" s="18"/>
      <c r="H32" s="18"/>
      <c r="I32" s="18"/>
      <c r="J32" s="24"/>
      <c r="K32" s="49"/>
      <c r="L32" s="50"/>
      <c r="M32" s="51"/>
      <c r="T32" s="22"/>
      <c r="U32" s="21"/>
      <c r="V32" s="21"/>
      <c r="W32" s="21"/>
      <c r="X32" s="22"/>
      <c r="Y32" s="27"/>
      <c r="Z32" s="27"/>
      <c r="AA32" s="27"/>
      <c r="AB32" s="27"/>
      <c r="AC32" s="70"/>
      <c r="AD32" s="70"/>
      <c r="AE32" s="70"/>
      <c r="AG32" s="30"/>
      <c r="AH32" s="20"/>
      <c r="AI32" s="21"/>
      <c r="AJ32" s="21"/>
      <c r="AK32" s="22"/>
      <c r="AL32" s="24"/>
      <c r="AM32" s="24"/>
      <c r="AN32" s="24"/>
      <c r="AO32" s="24"/>
      <c r="AP32" s="49"/>
      <c r="AQ32" s="50"/>
      <c r="AR32" s="51"/>
    </row>
    <row r="33" spans="2:44" ht="15" customHeight="1" x14ac:dyDescent="0.2">
      <c r="B33" s="30"/>
      <c r="C33" s="20"/>
      <c r="D33" s="21"/>
      <c r="E33" s="21"/>
      <c r="F33" s="22"/>
      <c r="G33" s="19"/>
      <c r="H33" s="19"/>
      <c r="I33" s="19"/>
      <c r="J33" s="25"/>
      <c r="K33" s="49"/>
      <c r="L33" s="50"/>
      <c r="M33" s="51"/>
      <c r="T33" s="22"/>
      <c r="U33" s="21"/>
      <c r="V33" s="21"/>
      <c r="W33" s="21"/>
      <c r="X33" s="22"/>
      <c r="Y33" s="27"/>
      <c r="Z33" s="27"/>
      <c r="AA33" s="27"/>
      <c r="AB33" s="27"/>
      <c r="AC33" s="70"/>
      <c r="AD33" s="70"/>
      <c r="AE33" s="70"/>
      <c r="AG33" s="30"/>
      <c r="AH33" s="20"/>
      <c r="AI33" s="21"/>
      <c r="AJ33" s="21"/>
      <c r="AK33" s="22"/>
      <c r="AL33" s="25"/>
      <c r="AM33" s="25"/>
      <c r="AN33" s="25"/>
      <c r="AO33" s="25"/>
      <c r="AP33" s="49"/>
      <c r="AQ33" s="50"/>
      <c r="AR33" s="51"/>
    </row>
    <row r="34" spans="2:44" ht="15" customHeight="1" x14ac:dyDescent="0.2">
      <c r="B34" s="30"/>
      <c r="C34" s="20" t="s">
        <v>116</v>
      </c>
      <c r="D34" s="21"/>
      <c r="E34" s="21"/>
      <c r="F34" s="22">
        <v>1500</v>
      </c>
      <c r="G34" s="22">
        <v>0.62160000000000004</v>
      </c>
      <c r="H34" s="22">
        <v>0.58760000000000001</v>
      </c>
      <c r="I34" s="17">
        <v>0.81850000000000001</v>
      </c>
      <c r="J34" s="55">
        <v>0.72550000000000003</v>
      </c>
      <c r="K34" s="49"/>
      <c r="L34" s="50"/>
      <c r="M34" s="51"/>
      <c r="T34" s="22"/>
      <c r="U34" s="21" t="s">
        <v>108</v>
      </c>
      <c r="V34" s="21"/>
      <c r="W34" s="21"/>
      <c r="X34" s="22">
        <v>1500</v>
      </c>
      <c r="Y34" s="27">
        <v>0.50349999999999995</v>
      </c>
      <c r="Z34" s="27">
        <v>0.50819999999999999</v>
      </c>
      <c r="AA34" s="27">
        <v>0.83330000000000004</v>
      </c>
      <c r="AB34" s="27">
        <v>0.75</v>
      </c>
      <c r="AC34" s="70"/>
      <c r="AD34" s="70"/>
      <c r="AE34" s="70"/>
      <c r="AG34" s="30"/>
      <c r="AH34" s="20" t="s">
        <v>107</v>
      </c>
      <c r="AI34" s="21"/>
      <c r="AJ34" s="21"/>
      <c r="AK34" s="22">
        <v>1500</v>
      </c>
      <c r="AL34" s="17" t="s">
        <v>131</v>
      </c>
      <c r="AM34" s="17" t="s">
        <v>132</v>
      </c>
      <c r="AN34" s="17" t="s">
        <v>125</v>
      </c>
      <c r="AO34" s="23" t="s">
        <v>133</v>
      </c>
      <c r="AP34" s="49"/>
      <c r="AQ34" s="50"/>
      <c r="AR34" s="51"/>
    </row>
    <row r="35" spans="2:44" ht="15" customHeight="1" x14ac:dyDescent="0.2">
      <c r="B35" s="30"/>
      <c r="C35" s="20"/>
      <c r="D35" s="21"/>
      <c r="E35" s="21"/>
      <c r="F35" s="22"/>
      <c r="G35" s="22"/>
      <c r="H35" s="22"/>
      <c r="I35" s="18"/>
      <c r="J35" s="55"/>
      <c r="K35" s="49"/>
      <c r="L35" s="50"/>
      <c r="M35" s="51"/>
      <c r="N35" s="13"/>
      <c r="T35" s="22"/>
      <c r="U35" s="21"/>
      <c r="V35" s="21"/>
      <c r="W35" s="21"/>
      <c r="X35" s="22"/>
      <c r="Y35" s="27"/>
      <c r="Z35" s="27"/>
      <c r="AA35" s="27"/>
      <c r="AB35" s="27"/>
      <c r="AC35" s="70"/>
      <c r="AD35" s="70"/>
      <c r="AE35" s="70"/>
      <c r="AG35" s="30"/>
      <c r="AH35" s="20"/>
      <c r="AI35" s="21"/>
      <c r="AJ35" s="21"/>
      <c r="AK35" s="22"/>
      <c r="AL35" s="18"/>
      <c r="AM35" s="18"/>
      <c r="AN35" s="18"/>
      <c r="AO35" s="24"/>
      <c r="AP35" s="49"/>
      <c r="AQ35" s="50"/>
      <c r="AR35" s="51"/>
    </row>
    <row r="36" spans="2:44" ht="15" customHeight="1" x14ac:dyDescent="0.2">
      <c r="B36" s="30"/>
      <c r="C36" s="20"/>
      <c r="D36" s="21"/>
      <c r="E36" s="21"/>
      <c r="F36" s="22"/>
      <c r="G36" s="22"/>
      <c r="H36" s="22"/>
      <c r="I36" s="19"/>
      <c r="J36" s="55"/>
      <c r="K36" s="49"/>
      <c r="L36" s="50"/>
      <c r="M36" s="51"/>
      <c r="T36" s="22"/>
      <c r="U36" s="21"/>
      <c r="V36" s="21"/>
      <c r="W36" s="21"/>
      <c r="X36" s="22"/>
      <c r="Y36" s="27"/>
      <c r="Z36" s="27"/>
      <c r="AA36" s="27"/>
      <c r="AB36" s="27"/>
      <c r="AC36" s="70"/>
      <c r="AD36" s="70"/>
      <c r="AE36" s="70"/>
      <c r="AG36" s="30"/>
      <c r="AH36" s="20"/>
      <c r="AI36" s="21"/>
      <c r="AJ36" s="21"/>
      <c r="AK36" s="22"/>
      <c r="AL36" s="19"/>
      <c r="AM36" s="19"/>
      <c r="AN36" s="19"/>
      <c r="AO36" s="25"/>
      <c r="AP36" s="49"/>
      <c r="AQ36" s="50"/>
      <c r="AR36" s="51"/>
    </row>
    <row r="37" spans="2:44" ht="15" customHeight="1" x14ac:dyDescent="0.2">
      <c r="B37" s="30"/>
      <c r="C37" s="20" t="s">
        <v>43</v>
      </c>
      <c r="D37" s="21"/>
      <c r="E37" s="21"/>
      <c r="F37" s="22">
        <v>1500</v>
      </c>
      <c r="G37" s="26">
        <v>0.6381</v>
      </c>
      <c r="H37" s="26">
        <v>0.66579999999999995</v>
      </c>
      <c r="I37" s="27">
        <v>0.9032</v>
      </c>
      <c r="J37" s="28">
        <v>0.871</v>
      </c>
      <c r="K37" s="49"/>
      <c r="L37" s="50"/>
      <c r="M37" s="51"/>
      <c r="T37" s="22"/>
      <c r="U37" s="21" t="s">
        <v>104</v>
      </c>
      <c r="V37" s="21"/>
      <c r="W37" s="21"/>
      <c r="X37" s="22">
        <v>1500</v>
      </c>
      <c r="Y37" s="27">
        <v>0.59119999999999995</v>
      </c>
      <c r="Z37" s="27">
        <v>0.61950000000000005</v>
      </c>
      <c r="AA37" s="27">
        <v>0.66669999999999996</v>
      </c>
      <c r="AB37" s="27">
        <v>0.75</v>
      </c>
      <c r="AC37" s="70"/>
      <c r="AD37" s="70"/>
      <c r="AE37" s="70"/>
      <c r="AG37" s="30"/>
      <c r="AH37" s="20" t="s">
        <v>100</v>
      </c>
      <c r="AI37" s="21"/>
      <c r="AJ37" s="21"/>
      <c r="AK37" s="22">
        <v>1500</v>
      </c>
      <c r="AL37" s="26" t="s">
        <v>127</v>
      </c>
      <c r="AM37" s="26" t="s">
        <v>128</v>
      </c>
      <c r="AN37" s="27" t="s">
        <v>129</v>
      </c>
      <c r="AO37" s="28" t="s">
        <v>130</v>
      </c>
      <c r="AP37" s="49"/>
      <c r="AQ37" s="50"/>
      <c r="AR37" s="51"/>
    </row>
    <row r="38" spans="2:44" ht="15" customHeight="1" x14ac:dyDescent="0.2">
      <c r="B38" s="30"/>
      <c r="C38" s="20"/>
      <c r="D38" s="21"/>
      <c r="E38" s="21"/>
      <c r="F38" s="22"/>
      <c r="G38" s="26"/>
      <c r="H38" s="26"/>
      <c r="I38" s="27"/>
      <c r="J38" s="28"/>
      <c r="K38" s="49"/>
      <c r="L38" s="50"/>
      <c r="M38" s="51"/>
      <c r="T38" s="22"/>
      <c r="U38" s="21"/>
      <c r="V38" s="21"/>
      <c r="W38" s="21"/>
      <c r="X38" s="22"/>
      <c r="Y38" s="27"/>
      <c r="Z38" s="27"/>
      <c r="AA38" s="27"/>
      <c r="AB38" s="27"/>
      <c r="AC38" s="70"/>
      <c r="AD38" s="70"/>
      <c r="AE38" s="70"/>
      <c r="AG38" s="30"/>
      <c r="AH38" s="20"/>
      <c r="AI38" s="21"/>
      <c r="AJ38" s="21"/>
      <c r="AK38" s="22"/>
      <c r="AL38" s="26"/>
      <c r="AM38" s="26"/>
      <c r="AN38" s="27"/>
      <c r="AO38" s="28"/>
      <c r="AP38" s="49"/>
      <c r="AQ38" s="50"/>
      <c r="AR38" s="51"/>
    </row>
    <row r="39" spans="2:44" ht="15" customHeight="1" x14ac:dyDescent="0.2">
      <c r="B39" s="30"/>
      <c r="C39" s="20"/>
      <c r="D39" s="21"/>
      <c r="E39" s="73"/>
      <c r="F39" s="22"/>
      <c r="G39" s="26"/>
      <c r="H39" s="26"/>
      <c r="I39" s="27"/>
      <c r="J39" s="28"/>
      <c r="K39" s="49"/>
      <c r="L39" s="50"/>
      <c r="M39" s="51"/>
      <c r="T39" s="22"/>
      <c r="U39" s="21"/>
      <c r="V39" s="21"/>
      <c r="W39" s="21"/>
      <c r="X39" s="22"/>
      <c r="Y39" s="27"/>
      <c r="Z39" s="27"/>
      <c r="AA39" s="27"/>
      <c r="AB39" s="27"/>
      <c r="AC39" s="70"/>
      <c r="AD39" s="70"/>
      <c r="AE39" s="70"/>
      <c r="AG39" s="30"/>
      <c r="AH39" s="20"/>
      <c r="AI39" s="21"/>
      <c r="AJ39" s="73"/>
      <c r="AK39" s="22"/>
      <c r="AL39" s="26"/>
      <c r="AM39" s="26"/>
      <c r="AN39" s="27"/>
      <c r="AO39" s="28"/>
      <c r="AP39" s="49"/>
      <c r="AQ39" s="50"/>
      <c r="AR39" s="51"/>
    </row>
    <row r="40" spans="2:44" ht="15" customHeight="1" x14ac:dyDescent="0.2">
      <c r="B40" s="30"/>
      <c r="C40" s="20" t="s">
        <v>54</v>
      </c>
      <c r="D40" s="21"/>
      <c r="E40" s="21"/>
      <c r="F40" s="22">
        <v>1500</v>
      </c>
      <c r="G40" s="27">
        <v>0.55020000000000002</v>
      </c>
      <c r="H40" s="27">
        <v>0.51800000000000002</v>
      </c>
      <c r="I40" s="27">
        <v>0.81850000000000001</v>
      </c>
      <c r="J40" s="28">
        <v>0.72550000000000003</v>
      </c>
      <c r="K40" s="49"/>
      <c r="L40" s="50"/>
      <c r="M40" s="51"/>
      <c r="T40" s="22"/>
      <c r="U40" s="21" t="s">
        <v>105</v>
      </c>
      <c r="V40" s="21"/>
      <c r="W40" s="21"/>
      <c r="X40" s="22">
        <v>1500</v>
      </c>
      <c r="Y40" s="27">
        <v>0.60799999999999998</v>
      </c>
      <c r="Z40" s="27">
        <v>0.57879999999999998</v>
      </c>
      <c r="AA40" s="27">
        <v>0.66669999999999996</v>
      </c>
      <c r="AB40" s="27">
        <v>0.58330000000000004</v>
      </c>
      <c r="AC40" s="70"/>
      <c r="AD40" s="70"/>
      <c r="AE40" s="70"/>
      <c r="AG40" s="30"/>
      <c r="AH40" s="20" t="s">
        <v>101</v>
      </c>
      <c r="AI40" s="21"/>
      <c r="AJ40" s="21"/>
      <c r="AK40" s="22">
        <v>1500</v>
      </c>
      <c r="AL40" s="27" t="s">
        <v>123</v>
      </c>
      <c r="AM40" s="27" t="s">
        <v>124</v>
      </c>
      <c r="AN40" s="27" t="s">
        <v>125</v>
      </c>
      <c r="AO40" s="28" t="s">
        <v>126</v>
      </c>
      <c r="AP40" s="49"/>
      <c r="AQ40" s="50"/>
      <c r="AR40" s="51"/>
    </row>
    <row r="41" spans="2:44" ht="15" customHeight="1" x14ac:dyDescent="0.2">
      <c r="B41" s="30"/>
      <c r="C41" s="20"/>
      <c r="D41" s="21"/>
      <c r="E41" s="21"/>
      <c r="F41" s="22"/>
      <c r="G41" s="27"/>
      <c r="H41" s="27"/>
      <c r="I41" s="27"/>
      <c r="J41" s="28"/>
      <c r="K41" s="49"/>
      <c r="L41" s="50"/>
      <c r="M41" s="51"/>
      <c r="T41" s="22"/>
      <c r="U41" s="21"/>
      <c r="V41" s="21"/>
      <c r="W41" s="21"/>
      <c r="X41" s="22"/>
      <c r="Y41" s="27"/>
      <c r="Z41" s="27"/>
      <c r="AA41" s="27"/>
      <c r="AB41" s="27"/>
      <c r="AC41" s="70"/>
      <c r="AD41" s="70"/>
      <c r="AE41" s="70"/>
      <c r="AG41" s="30"/>
      <c r="AH41" s="20"/>
      <c r="AI41" s="21"/>
      <c r="AJ41" s="21"/>
      <c r="AK41" s="22"/>
      <c r="AL41" s="27"/>
      <c r="AM41" s="27"/>
      <c r="AN41" s="27"/>
      <c r="AO41" s="28"/>
      <c r="AP41" s="49"/>
      <c r="AQ41" s="50"/>
      <c r="AR41" s="51"/>
    </row>
    <row r="42" spans="2:44" ht="15" customHeight="1" x14ac:dyDescent="0.2">
      <c r="B42" s="31"/>
      <c r="C42" s="20"/>
      <c r="D42" s="21"/>
      <c r="E42" s="21"/>
      <c r="F42" s="22"/>
      <c r="G42" s="27"/>
      <c r="H42" s="27"/>
      <c r="I42" s="27"/>
      <c r="J42" s="28"/>
      <c r="K42" s="52"/>
      <c r="L42" s="53"/>
      <c r="M42" s="54"/>
      <c r="T42" s="22"/>
      <c r="U42" s="21"/>
      <c r="V42" s="21"/>
      <c r="W42" s="21"/>
      <c r="X42" s="22"/>
      <c r="Y42" s="27"/>
      <c r="Z42" s="27"/>
      <c r="AA42" s="27"/>
      <c r="AB42" s="27"/>
      <c r="AC42" s="70"/>
      <c r="AD42" s="70"/>
      <c r="AE42" s="70"/>
      <c r="AG42" s="30"/>
      <c r="AH42" s="20"/>
      <c r="AI42" s="21"/>
      <c r="AJ42" s="73"/>
      <c r="AK42" s="22"/>
      <c r="AL42" s="27"/>
      <c r="AM42" s="27"/>
      <c r="AN42" s="27"/>
      <c r="AO42" s="28"/>
      <c r="AP42" s="49"/>
      <c r="AQ42" s="50"/>
      <c r="AR42" s="51"/>
    </row>
    <row r="43" spans="2:44" ht="15" customHeight="1" x14ac:dyDescent="0.2">
      <c r="C43" s="5"/>
      <c r="D43" s="5"/>
      <c r="E43" s="5"/>
      <c r="AG43" s="30"/>
      <c r="AH43" s="21" t="s">
        <v>102</v>
      </c>
      <c r="AI43" s="21"/>
      <c r="AJ43" s="21"/>
      <c r="AK43" s="22">
        <v>1500</v>
      </c>
      <c r="AL43" s="17" t="s">
        <v>119</v>
      </c>
      <c r="AM43" s="17" t="s">
        <v>120</v>
      </c>
      <c r="AN43" s="17" t="s">
        <v>121</v>
      </c>
      <c r="AO43" s="17" t="s">
        <v>122</v>
      </c>
      <c r="AP43" s="49"/>
      <c r="AQ43" s="50"/>
      <c r="AR43" s="51"/>
    </row>
    <row r="44" spans="2:44" ht="15" customHeight="1" x14ac:dyDescent="0.2">
      <c r="AG44" s="30"/>
      <c r="AH44" s="21"/>
      <c r="AI44" s="21"/>
      <c r="AJ44" s="21"/>
      <c r="AK44" s="22"/>
      <c r="AL44" s="18"/>
      <c r="AM44" s="18"/>
      <c r="AN44" s="18"/>
      <c r="AO44" s="18"/>
      <c r="AP44" s="49"/>
      <c r="AQ44" s="50"/>
      <c r="AR44" s="51"/>
    </row>
    <row r="45" spans="2:44" ht="15" customHeight="1" x14ac:dyDescent="0.2">
      <c r="AG45" s="31"/>
      <c r="AH45" s="21"/>
      <c r="AI45" s="21"/>
      <c r="AJ45" s="21"/>
      <c r="AK45" s="22"/>
      <c r="AL45" s="19"/>
      <c r="AM45" s="19"/>
      <c r="AN45" s="19"/>
      <c r="AO45" s="19"/>
      <c r="AP45" s="52"/>
      <c r="AQ45" s="53"/>
      <c r="AR45" s="54"/>
    </row>
    <row r="46" spans="2:44" ht="16" x14ac:dyDescent="0.2">
      <c r="Q46" s="5"/>
      <c r="R46" s="5"/>
      <c r="S46" s="5"/>
    </row>
    <row r="48" spans="2:44" ht="15" customHeight="1" x14ac:dyDescent="0.2"/>
    <row r="49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9" ht="15" customHeight="1" x14ac:dyDescent="0.2"/>
    <row r="70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</sheetData>
  <mergeCells count="199">
    <mergeCell ref="AO37:AO39"/>
    <mergeCell ref="AH40:AJ42"/>
    <mergeCell ref="AK40:AK42"/>
    <mergeCell ref="AL40:AL42"/>
    <mergeCell ref="AM40:AM42"/>
    <mergeCell ref="AN40:AN42"/>
    <mergeCell ref="AO40:AO42"/>
    <mergeCell ref="AH43:AJ45"/>
    <mergeCell ref="AK43:AK45"/>
    <mergeCell ref="AL43:AL45"/>
    <mergeCell ref="AM43:AM45"/>
    <mergeCell ref="AN43:AN45"/>
    <mergeCell ref="AO43:AO45"/>
    <mergeCell ref="AG27:AR28"/>
    <mergeCell ref="AH29:AK29"/>
    <mergeCell ref="AL29:AO29"/>
    <mergeCell ref="AP29:AR30"/>
    <mergeCell ref="AG30:AG45"/>
    <mergeCell ref="AH30:AJ30"/>
    <mergeCell ref="AH31:AJ33"/>
    <mergeCell ref="AK31:AK33"/>
    <mergeCell ref="AL31:AL33"/>
    <mergeCell ref="AM31:AM33"/>
    <mergeCell ref="AN31:AN33"/>
    <mergeCell ref="AO31:AO33"/>
    <mergeCell ref="AP31:AR45"/>
    <mergeCell ref="AH34:AJ36"/>
    <mergeCell ref="AK34:AK36"/>
    <mergeCell ref="AL34:AL36"/>
    <mergeCell ref="AM34:AM36"/>
    <mergeCell ref="AN34:AN36"/>
    <mergeCell ref="AO34:AO36"/>
    <mergeCell ref="AH37:AJ39"/>
    <mergeCell ref="AK37:AK39"/>
    <mergeCell ref="AL37:AL39"/>
    <mergeCell ref="AM37:AM39"/>
    <mergeCell ref="AN37:AN39"/>
    <mergeCell ref="AO15:AO17"/>
    <mergeCell ref="AH18:AJ20"/>
    <mergeCell ref="AK18:AK20"/>
    <mergeCell ref="AL18:AL20"/>
    <mergeCell ref="AM18:AM20"/>
    <mergeCell ref="AN18:AN20"/>
    <mergeCell ref="AO18:AO20"/>
    <mergeCell ref="AH21:AJ23"/>
    <mergeCell ref="AK21:AK23"/>
    <mergeCell ref="AL21:AL23"/>
    <mergeCell ref="AM21:AM23"/>
    <mergeCell ref="AN21:AN23"/>
    <mergeCell ref="AO21:AO23"/>
    <mergeCell ref="AG5:AR6"/>
    <mergeCell ref="AH7:AK7"/>
    <mergeCell ref="AL7:AO7"/>
    <mergeCell ref="AP7:AR8"/>
    <mergeCell ref="AG8:AG23"/>
    <mergeCell ref="AH8:AJ8"/>
    <mergeCell ref="AH9:AJ11"/>
    <mergeCell ref="AK9:AK11"/>
    <mergeCell ref="AL9:AL11"/>
    <mergeCell ref="AM9:AM11"/>
    <mergeCell ref="AN9:AN11"/>
    <mergeCell ref="AO9:AO11"/>
    <mergeCell ref="AP9:AR23"/>
    <mergeCell ref="AH12:AJ14"/>
    <mergeCell ref="AK12:AK14"/>
    <mergeCell ref="AL12:AL14"/>
    <mergeCell ref="AM12:AM14"/>
    <mergeCell ref="AN12:AN14"/>
    <mergeCell ref="AO12:AO14"/>
    <mergeCell ref="AH15:AJ17"/>
    <mergeCell ref="AK15:AK17"/>
    <mergeCell ref="AL15:AL17"/>
    <mergeCell ref="AM15:AM17"/>
    <mergeCell ref="AN15:AN17"/>
    <mergeCell ref="Z12:Z14"/>
    <mergeCell ref="AA12:AA14"/>
    <mergeCell ref="AB12:AB14"/>
    <mergeCell ref="U12:W14"/>
    <mergeCell ref="X12:X14"/>
    <mergeCell ref="Y12:Y14"/>
    <mergeCell ref="AB40:AB42"/>
    <mergeCell ref="Z15:Z17"/>
    <mergeCell ref="AA15:AA17"/>
    <mergeCell ref="AB15:AB17"/>
    <mergeCell ref="U15:W17"/>
    <mergeCell ref="X15:X17"/>
    <mergeCell ref="Y15:Y17"/>
    <mergeCell ref="Z18:Z20"/>
    <mergeCell ref="AA18:AA20"/>
    <mergeCell ref="AB18:AB20"/>
    <mergeCell ref="U18:W20"/>
    <mergeCell ref="X18:X20"/>
    <mergeCell ref="Y18:Y20"/>
    <mergeCell ref="T5:AE6"/>
    <mergeCell ref="U7:X7"/>
    <mergeCell ref="Y7:AB7"/>
    <mergeCell ref="AC7:AE8"/>
    <mergeCell ref="U8:W8"/>
    <mergeCell ref="Z9:Z11"/>
    <mergeCell ref="AA9:AA11"/>
    <mergeCell ref="AB9:AB11"/>
    <mergeCell ref="U9:W11"/>
    <mergeCell ref="X9:X11"/>
    <mergeCell ref="Y9:Y11"/>
    <mergeCell ref="Y40:Y42"/>
    <mergeCell ref="Z40:Z42"/>
    <mergeCell ref="AA40:AA42"/>
    <mergeCell ref="X34:X36"/>
    <mergeCell ref="C34:E36"/>
    <mergeCell ref="F34:F36"/>
    <mergeCell ref="G34:G36"/>
    <mergeCell ref="H34:H36"/>
    <mergeCell ref="I34:I36"/>
    <mergeCell ref="J34:J36"/>
    <mergeCell ref="X37:X39"/>
    <mergeCell ref="C37:E39"/>
    <mergeCell ref="F37:F39"/>
    <mergeCell ref="G37:G39"/>
    <mergeCell ref="H37:H39"/>
    <mergeCell ref="I37:I39"/>
    <mergeCell ref="J37:J39"/>
    <mergeCell ref="X40:X42"/>
    <mergeCell ref="C40:E42"/>
    <mergeCell ref="F40:F42"/>
    <mergeCell ref="G40:G42"/>
    <mergeCell ref="H40:H42"/>
    <mergeCell ref="I40:I42"/>
    <mergeCell ref="J40:J42"/>
    <mergeCell ref="B27:M28"/>
    <mergeCell ref="C29:F29"/>
    <mergeCell ref="G29:J29"/>
    <mergeCell ref="K29:M30"/>
    <mergeCell ref="C30:E30"/>
    <mergeCell ref="B30:B42"/>
    <mergeCell ref="K31:M42"/>
    <mergeCell ref="X31:X33"/>
    <mergeCell ref="C31:E33"/>
    <mergeCell ref="F31:F33"/>
    <mergeCell ref="G31:G33"/>
    <mergeCell ref="H31:H33"/>
    <mergeCell ref="I31:I33"/>
    <mergeCell ref="J31:J33"/>
    <mergeCell ref="T8:T20"/>
    <mergeCell ref="N10:N11"/>
    <mergeCell ref="C12:E14"/>
    <mergeCell ref="F12:F14"/>
    <mergeCell ref="G12:G14"/>
    <mergeCell ref="H12:H14"/>
    <mergeCell ref="I12:I14"/>
    <mergeCell ref="J12:J14"/>
    <mergeCell ref="C15:E17"/>
    <mergeCell ref="F15:F17"/>
    <mergeCell ref="G15:G17"/>
    <mergeCell ref="H15:H17"/>
    <mergeCell ref="I15:I17"/>
    <mergeCell ref="J15:J17"/>
    <mergeCell ref="C18:E20"/>
    <mergeCell ref="F18:F20"/>
    <mergeCell ref="G18:G20"/>
    <mergeCell ref="H18:H20"/>
    <mergeCell ref="I18:I20"/>
    <mergeCell ref="J18:J20"/>
    <mergeCell ref="B5:M6"/>
    <mergeCell ref="C7:F7"/>
    <mergeCell ref="G7:J7"/>
    <mergeCell ref="K7:M8"/>
    <mergeCell ref="C8:E8"/>
    <mergeCell ref="B8:B20"/>
    <mergeCell ref="K9:M20"/>
    <mergeCell ref="C9:E11"/>
    <mergeCell ref="F9:F11"/>
    <mergeCell ref="G9:G11"/>
    <mergeCell ref="H9:H11"/>
    <mergeCell ref="I9:I11"/>
    <mergeCell ref="J9:J11"/>
    <mergeCell ref="AC9:AE20"/>
    <mergeCell ref="T27:AE28"/>
    <mergeCell ref="U29:X29"/>
    <mergeCell ref="Y29:AB29"/>
    <mergeCell ref="AC29:AE30"/>
    <mergeCell ref="T30:T42"/>
    <mergeCell ref="U30:W30"/>
    <mergeCell ref="U31:W33"/>
    <mergeCell ref="Y31:Y33"/>
    <mergeCell ref="Z31:Z33"/>
    <mergeCell ref="AA31:AA33"/>
    <mergeCell ref="AB31:AB33"/>
    <mergeCell ref="AC31:AE42"/>
    <mergeCell ref="U34:W36"/>
    <mergeCell ref="Y34:Y36"/>
    <mergeCell ref="Z34:Z36"/>
    <mergeCell ref="AA34:AA36"/>
    <mergeCell ref="AB34:AB36"/>
    <mergeCell ref="U37:W39"/>
    <mergeCell ref="Y37:Y39"/>
    <mergeCell ref="Z37:Z39"/>
    <mergeCell ref="AA37:AA39"/>
    <mergeCell ref="AB37:AB39"/>
    <mergeCell ref="U40:W42"/>
  </mergeCells>
  <hyperlinks>
    <hyperlink ref="I8" r:id="rId1" xr:uid="{00000000-0004-0000-0300-000000000000}"/>
    <hyperlink ref="J8" r:id="rId2" xr:uid="{00000000-0004-0000-0300-000001000000}"/>
    <hyperlink ref="I30" r:id="rId3" xr:uid="{00000000-0004-0000-0300-000002000000}"/>
    <hyperlink ref="J30" r:id="rId4" xr:uid="{00000000-0004-0000-0300-000003000000}"/>
    <hyperlink ref="AA8" r:id="rId5" xr:uid="{00000000-0004-0000-0300-000004000000}"/>
    <hyperlink ref="AB8" r:id="rId6" xr:uid="{00000000-0004-0000-0300-000005000000}"/>
    <hyperlink ref="AA30" r:id="rId7" xr:uid="{00000000-0004-0000-0300-000006000000}"/>
    <hyperlink ref="AB30" r:id="rId8" xr:uid="{00000000-0004-0000-0300-000007000000}"/>
    <hyperlink ref="AN8" r:id="rId9" xr:uid="{3D80CB21-B656-534A-9CE2-7319C7C5EB33}"/>
    <hyperlink ref="AO8" r:id="rId10" xr:uid="{A329D09C-0850-CD4A-AFC9-6AFA2A458C4E}"/>
    <hyperlink ref="AN30" r:id="rId11" xr:uid="{7F08A732-21DD-B741-BDCE-852F204D3D02}"/>
    <hyperlink ref="AO30" r:id="rId12" xr:uid="{BD74DB3F-478B-7E4C-ABED-9EE7C6529B27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</vt:lpstr>
      <vt:lpstr>4_network</vt:lpstr>
      <vt:lpstr>1_network</vt:lpstr>
      <vt:lpstr>network 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2024-08-08T10:19:28Z</dcterms:created>
  <dcterms:modified xsi:type="dcterms:W3CDTF">2025-04-25T17:39:51Z</dcterms:modified>
</cp:coreProperties>
</file>